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Ex7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8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9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Ex10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Ex11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Ex12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charts/chartEx13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Ex14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harts/chartEx15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drawings/drawing6.xml" ContentType="application/vnd.openxmlformats-officedocument.drawing+xml"/>
  <Override PartName="/xl/charts/chartEx16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charts/chartEx17.xml" ContentType="application/vnd.ms-office.chartex+xml"/>
  <Override PartName="/xl/charts/style17.xml" ContentType="application/vnd.ms-office.chartstyle+xml"/>
  <Override PartName="/xl/charts/colors17.xml" ContentType="application/vnd.ms-office.chartcolorstyle+xml"/>
  <Override PartName="/xl/charts/chartEx18.xml" ContentType="application/vnd.ms-office.chartex+xml"/>
  <Override PartName="/xl/charts/style18.xml" ContentType="application/vnd.ms-office.chartstyle+xml"/>
  <Override PartName="/xl/charts/colors18.xml" ContentType="application/vnd.ms-office.chartcolorstyle+xml"/>
  <Override PartName="/xl/drawings/drawing7.xml" ContentType="application/vnd.openxmlformats-officedocument.drawing+xml"/>
  <Override PartName="/xl/charts/chartEx19.xml" ContentType="application/vnd.ms-office.chartex+xml"/>
  <Override PartName="/xl/charts/style19.xml" ContentType="application/vnd.ms-office.chartstyle+xml"/>
  <Override PartName="/xl/charts/colors19.xml" ContentType="application/vnd.ms-office.chartcolorstyle+xml"/>
  <Override PartName="/xl/charts/chartEx20.xml" ContentType="application/vnd.ms-office.chartex+xml"/>
  <Override PartName="/xl/charts/style20.xml" ContentType="application/vnd.ms-office.chartstyle+xml"/>
  <Override PartName="/xl/charts/colors20.xml" ContentType="application/vnd.ms-office.chartcolorstyle+xml"/>
  <Override PartName="/xl/charts/chartEx21.xml" ContentType="application/vnd.ms-office.chartex+xml"/>
  <Override PartName="/xl/charts/style21.xml" ContentType="application/vnd.ms-office.chartstyle+xml"/>
  <Override PartName="/xl/charts/colors21.xml" ContentType="application/vnd.ms-office.chartcolorstyle+xml"/>
  <Override PartName="/xl/drawings/drawing8.xml" ContentType="application/vnd.openxmlformats-officedocument.drawing+xml"/>
  <Override PartName="/xl/charts/chartEx22.xml" ContentType="application/vnd.ms-office.chartex+xml"/>
  <Override PartName="/xl/charts/style22.xml" ContentType="application/vnd.ms-office.chartstyle+xml"/>
  <Override PartName="/xl/charts/colors22.xml" ContentType="application/vnd.ms-office.chartcolorstyle+xml"/>
  <Override PartName="/xl/charts/chartEx23.xml" ContentType="application/vnd.ms-office.chartex+xml"/>
  <Override PartName="/xl/charts/style23.xml" ContentType="application/vnd.ms-office.chartstyle+xml"/>
  <Override PartName="/xl/charts/colors23.xml" ContentType="application/vnd.ms-office.chartcolorstyle+xml"/>
  <Override PartName="/xl/charts/chartEx24.xml" ContentType="application/vnd.ms-office.chartex+xml"/>
  <Override PartName="/xl/charts/style24.xml" ContentType="application/vnd.ms-office.chartstyle+xml"/>
  <Override PartName="/xl/charts/colors24.xml" ContentType="application/vnd.ms-office.chartcolorstyle+xml"/>
  <Override PartName="/xl/drawings/drawing9.xml" ContentType="application/vnd.openxmlformats-officedocument.drawing+xml"/>
  <Override PartName="/xl/charts/chartEx25.xml" ContentType="application/vnd.ms-office.chartex+xml"/>
  <Override PartName="/xl/charts/style25.xml" ContentType="application/vnd.ms-office.chartstyle+xml"/>
  <Override PartName="/xl/charts/colors25.xml" ContentType="application/vnd.ms-office.chartcolorstyle+xml"/>
  <Override PartName="/xl/charts/chartEx26.xml" ContentType="application/vnd.ms-office.chartex+xml"/>
  <Override PartName="/xl/charts/style26.xml" ContentType="application/vnd.ms-office.chartstyle+xml"/>
  <Override PartName="/xl/charts/colors26.xml" ContentType="application/vnd.ms-office.chartcolorstyle+xml"/>
  <Override PartName="/xl/charts/chartEx27.xml" ContentType="application/vnd.ms-office.chartex+xml"/>
  <Override PartName="/xl/charts/style27.xml" ContentType="application/vnd.ms-office.chartstyle+xml"/>
  <Override PartName="/xl/charts/colors27.xml" ContentType="application/vnd.ms-office.chartcolorstyle+xml"/>
  <Override PartName="/xl/drawings/drawing10.xml" ContentType="application/vnd.openxmlformats-officedocument.drawing+xml"/>
  <Override PartName="/xl/charts/chartEx28.xml" ContentType="application/vnd.ms-office.chartex+xml"/>
  <Override PartName="/xl/charts/style28.xml" ContentType="application/vnd.ms-office.chartstyle+xml"/>
  <Override PartName="/xl/charts/colors28.xml" ContentType="application/vnd.ms-office.chartcolorstyle+xml"/>
  <Override PartName="/xl/charts/chartEx29.xml" ContentType="application/vnd.ms-office.chartex+xml"/>
  <Override PartName="/xl/charts/style29.xml" ContentType="application/vnd.ms-office.chartstyle+xml"/>
  <Override PartName="/xl/charts/colors29.xml" ContentType="application/vnd.ms-office.chartcolorstyle+xml"/>
  <Override PartName="/xl/charts/chartEx30.xml" ContentType="application/vnd.ms-office.chartex+xml"/>
  <Override PartName="/xl/charts/style30.xml" ContentType="application/vnd.ms-office.chartstyle+xml"/>
  <Override PartName="/xl/charts/colors30.xml" ContentType="application/vnd.ms-office.chartcolorstyle+xml"/>
  <Override PartName="/xl/drawings/drawing11.xml" ContentType="application/vnd.openxmlformats-officedocument.drawing+xml"/>
  <Override PartName="/xl/charts/chartEx31.xml" ContentType="application/vnd.ms-office.chartex+xml"/>
  <Override PartName="/xl/charts/style31.xml" ContentType="application/vnd.ms-office.chartstyle+xml"/>
  <Override PartName="/xl/charts/colors31.xml" ContentType="application/vnd.ms-office.chartcolorstyle+xml"/>
  <Override PartName="/xl/charts/chartEx32.xml" ContentType="application/vnd.ms-office.chartex+xml"/>
  <Override PartName="/xl/charts/style32.xml" ContentType="application/vnd.ms-office.chartstyle+xml"/>
  <Override PartName="/xl/charts/colors32.xml" ContentType="application/vnd.ms-office.chartcolorstyle+xml"/>
  <Override PartName="/xl/charts/chartEx33.xml" ContentType="application/vnd.ms-office.chartex+xml"/>
  <Override PartName="/xl/charts/style33.xml" ContentType="application/vnd.ms-office.chartstyle+xml"/>
  <Override PartName="/xl/charts/colors33.xml" ContentType="application/vnd.ms-office.chartcolorstyle+xml"/>
  <Override PartName="/xl/drawings/drawing12.xml" ContentType="application/vnd.openxmlformats-officedocument.drawing+xml"/>
  <Override PartName="/xl/charts/chartEx34.xml" ContentType="application/vnd.ms-office.chartex+xml"/>
  <Override PartName="/xl/charts/style34.xml" ContentType="application/vnd.ms-office.chartstyle+xml"/>
  <Override PartName="/xl/charts/colors34.xml" ContentType="application/vnd.ms-office.chartcolorstyle+xml"/>
  <Override PartName="/xl/charts/chartEx35.xml" ContentType="application/vnd.ms-office.chartex+xml"/>
  <Override PartName="/xl/charts/style35.xml" ContentType="application/vnd.ms-office.chartstyle+xml"/>
  <Override PartName="/xl/charts/colors35.xml" ContentType="application/vnd.ms-office.chartcolorstyle+xml"/>
  <Override PartName="/xl/charts/chartEx36.xml" ContentType="application/vnd.ms-office.chartex+xml"/>
  <Override PartName="/xl/charts/style36.xml" ContentType="application/vnd.ms-office.chartstyle+xml"/>
  <Override PartName="/xl/charts/colors3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hayleylim/Desktop/"/>
    </mc:Choice>
  </mc:AlternateContent>
  <xr:revisionPtr revIDLastSave="0" documentId="8_{C4F70BEE-5456-6941-BFA3-978E2779624C}" xr6:coauthVersionLast="47" xr6:coauthVersionMax="47" xr10:uidLastSave="{00000000-0000-0000-0000-000000000000}"/>
  <bookViews>
    <workbookView xWindow="0" yWindow="680" windowWidth="27700" windowHeight="17900" activeTab="4" xr2:uid="{00000000-000D-0000-FFFF-FFFF00000000}"/>
  </bookViews>
  <sheets>
    <sheet name="Copy of Waypoints_25-OCT-25" sheetId="1" r:id="rId1"/>
    <sheet name="Master Sheet" sheetId="2" r:id="rId2"/>
    <sheet name="Boxplots for Left and Right" sheetId="15" r:id="rId3"/>
    <sheet name="Master Sheet without outliers" sheetId="14" r:id="rId4"/>
    <sheet name="Boxplots for the Four Groups" sheetId="16" r:id="rId5"/>
    <sheet name="Boxplots for left behind water" sheetId="10" state="hidden" r:id="rId6"/>
    <sheet name="Boxplots for left between water" sheetId="9" state="hidden" r:id="rId7"/>
    <sheet name="Boxplots for left" sheetId="7" state="hidden" r:id="rId8"/>
    <sheet name="Boxplots for right between wate" sheetId="13" state="hidden" r:id="rId9"/>
    <sheet name="Boxplots for right behind water" sheetId="11" state="hidden" r:id="rId10"/>
    <sheet name="Boxplots for right" sheetId="8" state="hidden" r:id="rId11"/>
    <sheet name="Boxplots for Left Between" sheetId="3" state="hidden" r:id="rId12"/>
    <sheet name="Boxplots for Left Behind" sheetId="4" state="hidden" r:id="rId13"/>
    <sheet name="Boxplots for Right Between" sheetId="5" state="hidden" r:id="rId14"/>
    <sheet name="Boxplots for Right Behind" sheetId="6" state="hidden" r:id="rId15"/>
  </sheets>
  <definedNames>
    <definedName name="_xlchart.v1.0" hidden="1">'Boxplots for Left and Right'!$G$1</definedName>
    <definedName name="_xlchart.v1.1" hidden="1">'Boxplots for Left and Right'!$G$2:$G$76</definedName>
    <definedName name="_xlchart.v1.10" hidden="1">'Boxplots for Left and Right'!$P$1</definedName>
    <definedName name="_xlchart.v1.11" hidden="1">'Boxplots for Left and Right'!$P$2:$P$76</definedName>
    <definedName name="_xlchart.v1.12" hidden="1">'Boxplots for the Four Groups'!$G$1</definedName>
    <definedName name="_xlchart.v1.13" hidden="1">'Boxplots for the Four Groups'!$G$2:$G$45</definedName>
    <definedName name="_xlchart.v1.14" hidden="1">'Boxplots for the Four Groups'!$H$1</definedName>
    <definedName name="_xlchart.v1.15" hidden="1">'Boxplots for the Four Groups'!$H$2:$H$45</definedName>
    <definedName name="_xlchart.v1.16" hidden="1">'Boxplots for the Four Groups'!$I$1</definedName>
    <definedName name="_xlchart.v1.17" hidden="1">'Boxplots for the Four Groups'!$I$2:$I$45</definedName>
    <definedName name="_xlchart.v1.18" hidden="1">'Boxplots for the Four Groups'!$J$1</definedName>
    <definedName name="_xlchart.v1.19" hidden="1">'Boxplots for the Four Groups'!$J$2:$J$45</definedName>
    <definedName name="_xlchart.v1.2" hidden="1">'Boxplots for Left and Right'!$H$1</definedName>
    <definedName name="_xlchart.v1.20" hidden="1">'Boxplots for the Four Groups'!$M$1</definedName>
    <definedName name="_xlchart.v1.21" hidden="1">'Boxplots for the Four Groups'!$M$2:$M$45</definedName>
    <definedName name="_xlchart.v1.22" hidden="1">'Boxplots for the Four Groups'!$N$1</definedName>
    <definedName name="_xlchart.v1.23" hidden="1">'Boxplots for the Four Groups'!$N$2:$N$45</definedName>
    <definedName name="_xlchart.v1.24" hidden="1">'Boxplots for the Four Groups'!$O$1</definedName>
    <definedName name="_xlchart.v1.25" hidden="1">'Boxplots for the Four Groups'!$O$2:$O$45</definedName>
    <definedName name="_xlchart.v1.26" hidden="1">'Boxplots for the Four Groups'!$P$1</definedName>
    <definedName name="_xlchart.v1.27" hidden="1">'Boxplots for the Four Groups'!$P$2:$P$45</definedName>
    <definedName name="_xlchart.v1.28" hidden="1">'Boxplots for the Four Groups'!$S$1</definedName>
    <definedName name="_xlchart.v1.29" hidden="1">'Boxplots for the Four Groups'!$S$2:$S$45</definedName>
    <definedName name="_xlchart.v1.3" hidden="1">'Boxplots for Left and Right'!$H$2:$H$76</definedName>
    <definedName name="_xlchart.v1.30" hidden="1">'Boxplots for the Four Groups'!$T$1</definedName>
    <definedName name="_xlchart.v1.31" hidden="1">'Boxplots for the Four Groups'!$T$2:$T$45</definedName>
    <definedName name="_xlchart.v1.32" hidden="1">'Boxplots for the Four Groups'!$U$1</definedName>
    <definedName name="_xlchart.v1.33" hidden="1">'Boxplots for the Four Groups'!$U$2:$U$45</definedName>
    <definedName name="_xlchart.v1.34" hidden="1">'Boxplots for the Four Groups'!$V$1</definedName>
    <definedName name="_xlchart.v1.35" hidden="1">'Boxplots for the Four Groups'!$V$2:$V$45</definedName>
    <definedName name="_xlchart.v1.36" hidden="1">'Boxplots for left behind water'!$C$1</definedName>
    <definedName name="_xlchart.v1.37" hidden="1">'Boxplots for left behind water'!$C$2:$C$32</definedName>
    <definedName name="_xlchart.v1.38" hidden="1">'Boxplots for left behind water'!$B$1</definedName>
    <definedName name="_xlchart.v1.39" hidden="1">'Boxplots for left behind water'!$B$2:$B$32</definedName>
    <definedName name="_xlchart.v1.4" hidden="1">'Boxplots for Left and Right'!$K$1</definedName>
    <definedName name="_xlchart.v1.40" hidden="1">'Boxplots for left behind water'!$D$1</definedName>
    <definedName name="_xlchart.v1.41" hidden="1">'Boxplots for left behind water'!$D$2:$D$32</definedName>
    <definedName name="_xlchart.v1.42" hidden="1">'Boxplots for left between water'!$B$2:$B$76</definedName>
    <definedName name="_xlchart.v1.43" hidden="1">'Boxplots for left between water'!$C$1</definedName>
    <definedName name="_xlchart.v1.44" hidden="1">'Boxplots for left between water'!$C$2:$C$76</definedName>
    <definedName name="_xlchart.v1.45" hidden="1">'Boxplots for left between water'!$D$1</definedName>
    <definedName name="_xlchart.v1.46" hidden="1">'Boxplots for left between water'!$D$2:$D$76</definedName>
    <definedName name="_xlchart.v1.47" hidden="1">'Boxplots for left'!$B$2:$B$76</definedName>
    <definedName name="_xlchart.v1.48" hidden="1">'Boxplots for left'!$C$1</definedName>
    <definedName name="_xlchart.v1.49" hidden="1">'Boxplots for left'!$C$2:$C$76</definedName>
    <definedName name="_xlchart.v1.5" hidden="1">'Boxplots for Left and Right'!$K$2:$K$76</definedName>
    <definedName name="_xlchart.v1.50" hidden="1">'Boxplots for left'!$D$1</definedName>
    <definedName name="_xlchart.v1.51" hidden="1">'Boxplots for left'!$D$2:$D$76</definedName>
    <definedName name="_xlchart.v1.52" hidden="1">'Boxplots for right between wate'!$B$1</definedName>
    <definedName name="_xlchart.v1.53" hidden="1">'Boxplots for right between wate'!$B$2:$B$53</definedName>
    <definedName name="_xlchart.v1.54" hidden="1">'Boxplots for right between wate'!$C$2:$C$53</definedName>
    <definedName name="_xlchart.v1.55" hidden="1">'Boxplots for right between wate'!$D$1</definedName>
    <definedName name="_xlchart.v1.56" hidden="1">'Boxplots for right between wate'!$D$2:$D$53</definedName>
    <definedName name="_xlchart.v1.57" hidden="1">'Boxplots for right behind water'!$B$1</definedName>
    <definedName name="_xlchart.v1.58" hidden="1">'Boxplots for right behind water'!$B$2:$B$53</definedName>
    <definedName name="_xlchart.v1.59" hidden="1">'Boxplots for right behind water'!$C$2:$C$53</definedName>
    <definedName name="_xlchart.v1.6" hidden="1">'Boxplots for Left and Right'!$L$1</definedName>
    <definedName name="_xlchart.v1.60" hidden="1">'Boxplots for right behind water'!$D$1</definedName>
    <definedName name="_xlchart.v1.61" hidden="1">'Boxplots for right behind water'!$D$2:$D$53</definedName>
    <definedName name="_xlchart.v1.62" hidden="1">'Boxplots for right'!$B$1</definedName>
    <definedName name="_xlchart.v1.63" hidden="1">'Boxplots for right'!$B$2:$B$53</definedName>
    <definedName name="_xlchart.v1.64" hidden="1">'Boxplots for right'!$C$2:$C$53</definedName>
    <definedName name="_xlchart.v1.65" hidden="1">'Boxplots for right'!$D$1</definedName>
    <definedName name="_xlchart.v1.66" hidden="1">'Boxplots for right'!$D$2:$D$53</definedName>
    <definedName name="_xlchart.v1.67" hidden="1">'Boxplots for Left Between'!$B$2:$B$54</definedName>
    <definedName name="_xlchart.v1.68" hidden="1">'Boxplots for Left Between'!$C$2:$C$54</definedName>
    <definedName name="_xlchart.v1.69" hidden="1">'Boxplots for Left Between'!$D$2:$D$60</definedName>
    <definedName name="_xlchart.v1.7" hidden="1">'Boxplots for Left and Right'!$L$2:$L$76</definedName>
    <definedName name="_xlchart.v1.70" hidden="1">'Boxplots for Left Behind'!$A$2:$A$57</definedName>
    <definedName name="_xlchart.v1.71" hidden="1">'Boxplots for Left Behind'!$B$2:$B$57</definedName>
    <definedName name="_xlchart.v1.72" hidden="1">'Boxplots for Left Behind'!$C$2:$C$57</definedName>
    <definedName name="_xlchart.v1.73" hidden="1">'Boxplots for Right Between'!$A$2:$A$29</definedName>
    <definedName name="_xlchart.v1.74" hidden="1">'Boxplots for Right Between'!$B$2:$B$20</definedName>
    <definedName name="_xlchart.v1.75" hidden="1">'Boxplots for Right Between'!$C$2:$C$20</definedName>
    <definedName name="_xlchart.v1.76" hidden="1">'Boxplots for Right Behind'!$A$2:$A$16</definedName>
    <definedName name="_xlchart.v1.77" hidden="1">'Boxplots for Right Behind'!$B$2:$B$16</definedName>
    <definedName name="_xlchart.v1.78" hidden="1">'Boxplots for Right Behind'!$C$2:$C$16</definedName>
    <definedName name="_xlchart.v1.8" hidden="1">'Boxplots for Left and Right'!$O$1</definedName>
    <definedName name="_xlchart.v1.9" hidden="1">'Boxplots for Left and Right'!$O$2:$O$76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16" l="1"/>
  <c r="Z3" i="16"/>
  <c r="AA2" i="16"/>
  <c r="Z2" i="16"/>
  <c r="J163" i="14"/>
  <c r="I163" i="14"/>
  <c r="M163" i="14" s="1"/>
  <c r="H163" i="14"/>
  <c r="J161" i="14"/>
  <c r="I161" i="14"/>
  <c r="M161" i="14" s="1"/>
  <c r="H161" i="14"/>
  <c r="J158" i="14"/>
  <c r="I158" i="14"/>
  <c r="H158" i="14"/>
  <c r="J157" i="14"/>
  <c r="I157" i="14"/>
  <c r="M157" i="14" s="1"/>
  <c r="H157" i="14"/>
  <c r="J156" i="14"/>
  <c r="I156" i="14"/>
  <c r="M156" i="14" s="1"/>
  <c r="H156" i="14"/>
  <c r="J153" i="14"/>
  <c r="I153" i="14"/>
  <c r="M153" i="14" s="1"/>
  <c r="H153" i="14"/>
  <c r="J149" i="14"/>
  <c r="I149" i="14"/>
  <c r="J136" i="14"/>
  <c r="I136" i="14"/>
  <c r="H136" i="14"/>
  <c r="I135" i="14"/>
  <c r="H135" i="14"/>
  <c r="J132" i="14"/>
  <c r="I132" i="14"/>
  <c r="H132" i="14"/>
  <c r="J131" i="14"/>
  <c r="I131" i="14"/>
  <c r="H131" i="14"/>
  <c r="J129" i="14"/>
  <c r="I129" i="14"/>
  <c r="H129" i="14"/>
  <c r="J128" i="14"/>
  <c r="I128" i="14"/>
  <c r="H128" i="14"/>
  <c r="J127" i="14"/>
  <c r="I127" i="14"/>
  <c r="H127" i="14"/>
  <c r="J126" i="14"/>
  <c r="I126" i="14"/>
  <c r="H126" i="14"/>
  <c r="J123" i="14"/>
  <c r="I123" i="14"/>
  <c r="H123" i="14"/>
  <c r="M61" i="14"/>
  <c r="M55" i="14"/>
  <c r="M54" i="14"/>
  <c r="M52" i="14"/>
  <c r="M51" i="14"/>
  <c r="M48" i="14"/>
  <c r="M52" i="2"/>
  <c r="M157" i="2"/>
  <c r="M153" i="2"/>
  <c r="J163" i="2"/>
  <c r="I163" i="2"/>
  <c r="M163" i="2" s="1"/>
  <c r="H163" i="2"/>
  <c r="J161" i="2"/>
  <c r="I161" i="2"/>
  <c r="M161" i="2" s="1"/>
  <c r="H161" i="2"/>
  <c r="J158" i="2"/>
  <c r="I158" i="2"/>
  <c r="M158" i="2" s="1"/>
  <c r="H158" i="2"/>
  <c r="J157" i="2"/>
  <c r="I157" i="2"/>
  <c r="H157" i="2"/>
  <c r="J156" i="2"/>
  <c r="M156" i="2" s="1"/>
  <c r="I156" i="2"/>
  <c r="H156" i="2"/>
  <c r="J153" i="2"/>
  <c r="I153" i="2"/>
  <c r="H153" i="2"/>
  <c r="J149" i="2"/>
  <c r="I149" i="2"/>
  <c r="M61" i="2"/>
  <c r="M55" i="2"/>
  <c r="M56" i="2"/>
  <c r="M54" i="2"/>
  <c r="M51" i="2"/>
  <c r="M49" i="2"/>
  <c r="M48" i="2"/>
  <c r="J136" i="2"/>
  <c r="I136" i="2"/>
  <c r="H136" i="2"/>
  <c r="I135" i="2"/>
  <c r="H135" i="2"/>
  <c r="J132" i="2"/>
  <c r="I132" i="2"/>
  <c r="H132" i="2"/>
  <c r="J131" i="2"/>
  <c r="I131" i="2"/>
  <c r="H131" i="2"/>
  <c r="J129" i="2"/>
  <c r="I129" i="2"/>
  <c r="H129" i="2"/>
  <c r="J128" i="2"/>
  <c r="I128" i="2"/>
  <c r="H128" i="2"/>
  <c r="J127" i="2"/>
  <c r="I127" i="2"/>
  <c r="J126" i="2"/>
  <c r="I126" i="2"/>
  <c r="J123" i="2"/>
  <c r="H127" i="2"/>
  <c r="H126" i="2"/>
  <c r="H123" i="2"/>
  <c r="I123" i="2"/>
  <c r="M149" i="14" l="1"/>
  <c r="M149" i="2"/>
</calcChain>
</file>

<file path=xl/sharedStrings.xml><?xml version="1.0" encoding="utf-8"?>
<sst xmlns="http://schemas.openxmlformats.org/spreadsheetml/2006/main" count="145" uniqueCount="72">
  <si>
    <t>X</t>
  </si>
  <si>
    <t>Y</t>
  </si>
  <si>
    <t>Name</t>
  </si>
  <si>
    <t>Group 2 Sample 1</t>
  </si>
  <si>
    <t>Group 2 Sample 2</t>
  </si>
  <si>
    <t>Group 2 Sample 3</t>
  </si>
  <si>
    <t>Group 3 Sample 1</t>
  </si>
  <si>
    <t>Group 3 Sample 2</t>
  </si>
  <si>
    <t>Group 3 Sample 3</t>
  </si>
  <si>
    <t>Group 4 Sample 1</t>
  </si>
  <si>
    <t>Group 4 Sample 2</t>
  </si>
  <si>
    <t>Group 4 Sample 3</t>
  </si>
  <si>
    <t>Group 5 Sample 1</t>
  </si>
  <si>
    <t>Group 5 Sample 2</t>
  </si>
  <si>
    <t>Group 5 Sample 3</t>
  </si>
  <si>
    <t>Group 6 Sample 1</t>
  </si>
  <si>
    <t>Group 6 Sample 2</t>
  </si>
  <si>
    <t>Group 6 Sample 3</t>
  </si>
  <si>
    <t>Group 7 Sample 1</t>
  </si>
  <si>
    <t>Group 7 Sample 2</t>
  </si>
  <si>
    <t>Group 7 Sample 3</t>
  </si>
  <si>
    <t>Group 8 Sample 1</t>
  </si>
  <si>
    <t>Group 8 Sample 2</t>
  </si>
  <si>
    <t>Group 8 Sample 3</t>
  </si>
  <si>
    <t>Group 9 Sample 1</t>
  </si>
  <si>
    <t>Park</t>
  </si>
  <si>
    <t>Group 9 Sample 2</t>
  </si>
  <si>
    <t>Group 9 Sample 3</t>
  </si>
  <si>
    <t>Group 10 Sample 1</t>
  </si>
  <si>
    <t>Group 10 Sample 2</t>
  </si>
  <si>
    <t>Group 10 Sample 3</t>
  </si>
  <si>
    <t>Group 11 Sample 1</t>
  </si>
  <si>
    <t>Group 11 Sample 2</t>
  </si>
  <si>
    <t>Group 11 Sample 3</t>
  </si>
  <si>
    <t>Legend</t>
  </si>
  <si>
    <t>Location</t>
  </si>
  <si>
    <t xml:space="preserve">Group No. </t>
  </si>
  <si>
    <t>Sample Site</t>
  </si>
  <si>
    <t>Quadrat No.</t>
  </si>
  <si>
    <t>Shoot Count</t>
  </si>
  <si>
    <t>Shoot Biomass (g)</t>
  </si>
  <si>
    <t>Root Biomass (g)</t>
  </si>
  <si>
    <t>Coverage (%)</t>
  </si>
  <si>
    <t>Shoot Density (m^-2)</t>
  </si>
  <si>
    <t>Total Biomass (g)</t>
  </si>
  <si>
    <t>Percentage of Quadrat Taken (if applicable)</t>
  </si>
  <si>
    <t>Nothing done to data</t>
  </si>
  <si>
    <t>Left, Between breakwater</t>
  </si>
  <si>
    <t>A percentage per quadrat was taken</t>
  </si>
  <si>
    <t>A percentage per site was taken (has been scaled up)</t>
  </si>
  <si>
    <t>Left, Behind Breakwater</t>
  </si>
  <si>
    <t>Right, Between Breakwater</t>
  </si>
  <si>
    <t>Right, Behind Breakwater</t>
  </si>
  <si>
    <t>coverage</t>
  </si>
  <si>
    <t>left behind</t>
  </si>
  <si>
    <t>left between</t>
  </si>
  <si>
    <t>right behind</t>
  </si>
  <si>
    <t>right between</t>
  </si>
  <si>
    <t>biomass</t>
  </si>
  <si>
    <t>shoot density</t>
  </si>
  <si>
    <t>Shoot density</t>
  </si>
  <si>
    <t>Biomass</t>
  </si>
  <si>
    <t>Coverage</t>
  </si>
  <si>
    <t>left</t>
  </si>
  <si>
    <t>right</t>
  </si>
  <si>
    <t>Total Biomass</t>
  </si>
  <si>
    <t>Shoot Density</t>
  </si>
  <si>
    <t>Left, between breakwater</t>
  </si>
  <si>
    <t>Sample not taken (hence is removed)</t>
  </si>
  <si>
    <t>Sample not taken (hence removed)</t>
  </si>
  <si>
    <t>Group inputted "0" (hence removed)</t>
  </si>
  <si>
    <t xml:space="preserve">Outliers that were removed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</si>
</sst>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Calibri"/>
      <family val="2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Roboto"/>
    </font>
    <font>
      <sz val="10"/>
      <color rgb="FF000000"/>
      <name val="Calibri"/>
      <family val="2"/>
    </font>
    <font>
      <sz val="10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4" fillId="2" borderId="1" xfId="0" applyFont="1" applyFill="1" applyBorder="1" applyAlignment="1">
      <alignment horizontal="left"/>
    </xf>
    <xf numFmtId="0" fontId="5" fillId="0" borderId="1" xfId="0" applyFont="1" applyBorder="1"/>
    <xf numFmtId="0" fontId="5" fillId="0" borderId="0" xfId="0" applyFont="1"/>
    <xf numFmtId="0" fontId="1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6" fillId="0" borderId="0" xfId="0" applyFont="1" applyAlignment="1">
      <alignment horizontal="center" vertical="center"/>
    </xf>
    <xf numFmtId="0" fontId="4" fillId="0" borderId="0" xfId="0" applyFont="1"/>
    <xf numFmtId="0" fontId="0" fillId="5" borderId="0" xfId="0" applyFill="1"/>
    <xf numFmtId="0" fontId="4" fillId="5" borderId="0" xfId="0" applyFont="1" applyFill="1"/>
    <xf numFmtId="0" fontId="4" fillId="4" borderId="0" xfId="0" applyFont="1" applyFill="1"/>
    <xf numFmtId="0" fontId="4" fillId="3" borderId="0" xfId="0" applyFont="1" applyFill="1"/>
    <xf numFmtId="0" fontId="0" fillId="0" borderId="3" xfId="0" applyBorder="1"/>
    <xf numFmtId="0" fontId="4" fillId="0" borderId="3" xfId="0" applyFont="1" applyBorder="1"/>
    <xf numFmtId="0" fontId="0" fillId="0" borderId="4" xfId="0" applyBorder="1"/>
    <xf numFmtId="0" fontId="4" fillId="0" borderId="4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3" borderId="3" xfId="0" applyFont="1" applyFill="1" applyBorder="1"/>
    <xf numFmtId="0" fontId="0" fillId="5" borderId="4" xfId="0" applyFill="1" applyBorder="1"/>
    <xf numFmtId="0" fontId="0" fillId="5" borderId="8" xfId="0" applyFill="1" applyBorder="1"/>
    <xf numFmtId="0" fontId="0" fillId="5" borderId="9" xfId="0" applyFill="1" applyBorder="1"/>
    <xf numFmtId="0" fontId="4" fillId="4" borderId="9" xfId="0" applyFont="1" applyFill="1" applyBorder="1"/>
    <xf numFmtId="0" fontId="0" fillId="0" borderId="9" xfId="0" applyBorder="1"/>
    <xf numFmtId="0" fontId="4" fillId="3" borderId="9" xfId="0" applyFont="1" applyFill="1" applyBorder="1"/>
    <xf numFmtId="0" fontId="4" fillId="3" borderId="10" xfId="0" applyFont="1" applyFill="1" applyBorder="1"/>
    <xf numFmtId="0" fontId="4" fillId="4" borderId="3" xfId="0" applyFont="1" applyFill="1" applyBorder="1"/>
    <xf numFmtId="0" fontId="4" fillId="4" borderId="10" xfId="0" applyFont="1" applyFill="1" applyBorder="1"/>
    <xf numFmtId="0" fontId="5" fillId="0" borderId="2" xfId="0" applyFont="1" applyBorder="1"/>
    <xf numFmtId="0" fontId="2" fillId="0" borderId="11" xfId="0" applyFont="1" applyBorder="1"/>
    <xf numFmtId="0" fontId="2" fillId="0" borderId="12" xfId="0" applyFont="1" applyBorder="1"/>
    <xf numFmtId="0" fontId="4" fillId="2" borderId="11" xfId="0" applyFont="1" applyFill="1" applyBorder="1"/>
    <xf numFmtId="0" fontId="4" fillId="2" borderId="12" xfId="0" applyFont="1" applyFill="1" applyBorder="1"/>
    <xf numFmtId="0" fontId="5" fillId="0" borderId="11" xfId="0" applyFont="1" applyBorder="1"/>
    <xf numFmtId="0" fontId="5" fillId="0" borderId="12" xfId="0" applyFont="1" applyBorder="1"/>
    <xf numFmtId="0" fontId="6" fillId="4" borderId="0" xfId="0" applyFont="1" applyFill="1"/>
    <xf numFmtId="0" fontId="0" fillId="0" borderId="8" xfId="0" applyBorder="1"/>
    <xf numFmtId="0" fontId="0" fillId="0" borderId="10" xfId="0" applyBorder="1"/>
    <xf numFmtId="0" fontId="0" fillId="4" borderId="9" xfId="0" applyFill="1" applyBorder="1"/>
    <xf numFmtId="0" fontId="4" fillId="8" borderId="0" xfId="0" applyFont="1" applyFill="1"/>
    <xf numFmtId="0" fontId="6" fillId="8" borderId="0" xfId="0" applyFont="1" applyFill="1"/>
    <xf numFmtId="0" fontId="4" fillId="8" borderId="9" xfId="0" applyFont="1" applyFill="1" applyBorder="1"/>
    <xf numFmtId="0" fontId="4" fillId="8" borderId="3" xfId="0" applyFont="1" applyFill="1" applyBorder="1"/>
    <xf numFmtId="0" fontId="6" fillId="8" borderId="3" xfId="0" applyFont="1" applyFill="1" applyBorder="1"/>
    <xf numFmtId="0" fontId="6" fillId="8" borderId="9" xfId="0" applyFont="1" applyFill="1" applyBorder="1"/>
    <xf numFmtId="0" fontId="4" fillId="8" borderId="10" xfId="0" applyFont="1" applyFill="1" applyBorder="1"/>
    <xf numFmtId="0" fontId="0" fillId="8" borderId="0" xfId="0" applyFill="1"/>
    <xf numFmtId="0" fontId="0" fillId="8" borderId="9" xfId="0" applyFill="1" applyBorder="1"/>
    <xf numFmtId="0" fontId="0" fillId="5" borderId="3" xfId="0" applyFill="1" applyBorder="1"/>
    <xf numFmtId="0" fontId="0" fillId="5" borderId="10" xfId="0" applyFill="1" applyBorder="1"/>
    <xf numFmtId="0" fontId="6" fillId="7" borderId="0" xfId="0" applyFont="1" applyFill="1"/>
    <xf numFmtId="0" fontId="4" fillId="7" borderId="0" xfId="0" applyFont="1" applyFill="1"/>
    <xf numFmtId="0" fontId="4" fillId="6" borderId="0" xfId="0" applyFont="1" applyFill="1"/>
    <xf numFmtId="0" fontId="4" fillId="6" borderId="3" xfId="0" applyFont="1" applyFill="1" applyBorder="1"/>
    <xf numFmtId="0" fontId="0" fillId="6" borderId="0" xfId="0" applyFill="1"/>
    <xf numFmtId="0" fontId="4" fillId="6" borderId="4" xfId="0" applyFont="1" applyFill="1" applyBorder="1"/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5" xfId="0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7" borderId="0" xfId="0" applyFill="1"/>
    <xf numFmtId="0" fontId="4" fillId="0" borderId="0" xfId="0" applyFont="1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Ex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Ex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Ex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Ex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Ex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Ex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Ex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Ex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Ex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Ex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Ex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Ex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Ex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Ex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Ex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Ex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Ex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Ex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</cx:chartData>
  <cx:chart>
    <cx:title pos="t" align="ctr" overlay="0">
      <cx:tx>
        <cx:txData>
          <cx:v>Boxplots for coverage of the left and right sides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Boxplots for coverage of the left and right sides</a:t>
          </a:r>
        </a:p>
      </cx:txPr>
    </cx:title>
    <cx:plotArea>
      <cx:plotAreaRegion>
        <cx:series layoutId="boxWhisker" uniqueId="{DC4E79B4-0FF2-7E43-A10F-DA4D844645DC}">
          <cx:tx>
            <cx:txData>
              <cx:f>_xlchart.v1.0</cx:f>
              <cx:v>left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9D751B68-5F4C-1E46-BFE0-1E2E194C50D3}">
          <cx:tx>
            <cx:txData>
              <cx:f>_xlchart.v1.2</cx:f>
              <cx:v>right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r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  <cx:data id="1">
      <cx:numDim type="val">
        <cx:f>_xlchart.v1.7</cx:f>
      </cx:numDim>
    </cx:data>
  </cx:chartData>
  <cx:chart>
    <cx:title pos="t" align="ctr" overlay="0">
      <cx:tx>
        <cx:txData>
          <cx:v>Total biomass of the left and right sides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Total biomass of the left and right sides</a:t>
          </a:r>
        </a:p>
      </cx:txPr>
    </cx:title>
    <cx:plotArea>
      <cx:plotAreaRegion>
        <cx:series layoutId="boxWhisker" uniqueId="{C53C1A5C-1ABF-4F46-9BD3-42B06476615D}">
          <cx:tx>
            <cx:txData>
              <cx:f>_xlchart.v1.4</cx:f>
              <cx:v>left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E26EA102-AD2D-6540-9612-122A76409C9C}">
          <cx:tx>
            <cx:txData>
              <cx:f>_xlchart.v1.6</cx:f>
              <cx:v>right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r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  <cx:data id="1">
      <cx:numDim type="val">
        <cx:f>_xlchart.v1.11</cx:f>
      </cx:numDim>
    </cx:data>
  </cx:chartData>
  <cx:chart>
    <cx:title pos="t" align="ctr" overlay="0">
      <cx:tx>
        <cx:txData>
          <cx:v>Shoot density of the left and right sides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Shoot density of the left and right sides</a:t>
          </a:r>
        </a:p>
      </cx:txPr>
    </cx:title>
    <cx:plotArea>
      <cx:plotAreaRegion>
        <cx:series layoutId="boxWhisker" uniqueId="{E9256959-E5E2-D345-B75B-54A9F3C0631B}">
          <cx:tx>
            <cx:txData>
              <cx:f>_xlchart.v1.8</cx:f>
              <cx:v>left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571BB0D1-C814-0240-A10A-C8CB3029F032}">
          <cx:tx>
            <cx:txData>
              <cx:f>_xlchart.v1.10</cx:f>
              <cx:v>right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r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  <cx:data id="1">
      <cx:numDim type="val">
        <cx:f>_xlchart.v1.15</cx:f>
      </cx:numDim>
    </cx:data>
    <cx:data id="2">
      <cx:numDim type="val">
        <cx:f>_xlchart.v1.17</cx:f>
      </cx:numDim>
    </cx:data>
    <cx:data id="3">
      <cx:numDim type="val">
        <cx:f>_xlchart.v1.19</cx:f>
      </cx:numDim>
    </cx:data>
  </cx:chartData>
  <cx:chart>
    <cx:title pos="t" align="ctr" overlay="0">
      <cx:tx>
        <cx:txData>
          <cx:v>Boxplots for coverage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Boxplots for coverage</a:t>
          </a:r>
        </a:p>
      </cx:txPr>
    </cx:title>
    <cx:plotArea>
      <cx:plotAreaRegion>
        <cx:series layoutId="boxWhisker" uniqueId="{00000000-72BB-44E3-8A25-AA374B405AC6}">
          <cx:tx>
            <cx:txData>
              <cx:f>_xlchart.v1.12</cx:f>
              <cx:v>left behind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72BB-44E3-8A25-AA374B405AC6}">
          <cx:tx>
            <cx:txData>
              <cx:f>_xlchart.v1.14</cx:f>
              <cx:v>left between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00000002-72BB-44E3-8A25-AA374B405AC6}">
          <cx:tx>
            <cx:txData>
              <cx:f>_xlchart.v1.16</cx:f>
              <cx:v>right behind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00000003-72BB-44E3-8A25-AA374B405AC6}">
          <cx:tx>
            <cx:txData>
              <cx:f>_xlchart.v1.18</cx:f>
              <cx:v>right between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_xlchart.v1.21</cx:f>
      </cx:numDim>
    </cx:data>
    <cx:data id="1">
      <cx:numDim type="val">
        <cx:f>_xlchart.v1.23</cx:f>
      </cx:numDim>
    </cx:data>
    <cx:data id="2">
      <cx:numDim type="val">
        <cx:f>_xlchart.v1.25</cx:f>
      </cx:numDim>
    </cx:data>
    <cx:data id="3">
      <cx:numDim type="val">
        <cx:f>_xlchart.v1.27</cx:f>
      </cx:numDim>
    </cx:data>
  </cx:chartData>
  <cx:chart>
    <cx:title pos="t" align="ctr" overlay="0">
      <cx:tx>
        <cx:txData>
          <cx:v>Boxplots for total biomass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Boxplots for total biomass</a:t>
          </a:r>
        </a:p>
      </cx:txPr>
    </cx:title>
    <cx:plotArea>
      <cx:plotAreaRegion>
        <cx:series layoutId="boxWhisker" uniqueId="{00000000-9099-482A-A446-C89045350BD0}">
          <cx:tx>
            <cx:txData>
              <cx:f>_xlchart.v1.20</cx:f>
              <cx:v>left behind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9099-482A-A446-C89045350BD0}">
          <cx:tx>
            <cx:txData>
              <cx:f>_xlchart.v1.22</cx:f>
              <cx:v>left between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00000002-9099-482A-A446-C89045350BD0}">
          <cx:tx>
            <cx:txData>
              <cx:f>_xlchart.v1.24</cx:f>
              <cx:v>right behind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00000003-9099-482A-A446-C89045350BD0}">
          <cx:tx>
            <cx:txData>
              <cx:f>_xlchart.v1.26</cx:f>
              <cx:v>right between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/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_xlchart.v1.29</cx:f>
      </cx:numDim>
    </cx:data>
    <cx:data id="1">
      <cx:numDim type="val">
        <cx:f>_xlchart.v1.31</cx:f>
      </cx:numDim>
    </cx:data>
    <cx:data id="2">
      <cx:numDim type="val">
        <cx:f>_xlchart.v1.33</cx:f>
      </cx:numDim>
    </cx:data>
    <cx:data id="3">
      <cx:numDim type="val">
        <cx:f>_xlchart.v1.35</cx:f>
      </cx:numDim>
    </cx:data>
  </cx:chartData>
  <cx:chart>
    <cx:title pos="t" align="ctr" overlay="0">
      <cx:tx>
        <cx:txData>
          <cx:v>Boxplots for shoot density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Boxplots for shoot density</a:t>
          </a:r>
        </a:p>
      </cx:txPr>
    </cx:title>
    <cx:plotArea>
      <cx:plotAreaRegion>
        <cx:series layoutId="boxWhisker" uniqueId="{00000000-2685-454C-ABF9-DD689E00BB01}">
          <cx:tx>
            <cx:txData>
              <cx:f>_xlchart.v1.28</cx:f>
              <cx:v>left behind</cx:v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2685-454C-ABF9-DD689E00BB01}">
          <cx:tx>
            <cx:txData>
              <cx:f>_xlchart.v1.30</cx:f>
              <cx:v>left between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00000002-2685-454C-ABF9-DD689E00BB01}">
          <cx:tx>
            <cx:txData>
              <cx:f>_xlchart.v1.32</cx:f>
              <cx:v>right behind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00000003-2685-454C-ABF9-DD689E00BB01}">
          <cx:tx>
            <cx:txData>
              <cx:f>_xlchart.v1.34</cx:f>
              <cx:v>right between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/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_xlchart.v1.37</cx:f>
      </cx:numDim>
    </cx:data>
  </cx:chartData>
  <cx:chart>
    <cx:title pos="t" align="ctr" overlay="0">
      <cx:tx>
        <cx:txData>
          <cx:v>Biomass for the left side behind breakwater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Biomass for the left side behind breakwater</a:t>
          </a:r>
        </a:p>
      </cx:txPr>
    </cx:title>
    <cx:plotArea>
      <cx:plotAreaRegion>
        <cx:series layoutId="boxWhisker" uniqueId="{00000000-59FE-4EFC-A61C-FD1501B4CD37}">
          <cx:tx>
            <cx:txData>
              <cx:f>_xlchart.v1.36</cx:f>
              <cx:v>Total Biomass (g)</cx:v>
            </cx:txData>
          </cx:tx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_xlchart.v1.39</cx:f>
      </cx:numDim>
    </cx:data>
  </cx:chartData>
  <cx:chart>
    <cx:title pos="t" align="ctr" overlay="0">
      <cx:tx>
        <cx:txData>
          <cx:v>Shoot density for the left side behind breakwater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Shoot density for the left side behind breakwater</a:t>
          </a:r>
        </a:p>
      </cx:txPr>
    </cx:title>
    <cx:plotArea>
      <cx:plotAreaRegion>
        <cx:series layoutId="boxWhisker" uniqueId="{00000000-63A6-4B76-BF86-6F11D2F825BF}">
          <cx:tx>
            <cx:txData>
              <cx:f>_xlchart.v1.38</cx:f>
              <cx:v>Shoot Density (m^-2)</cx:v>
            </cx:txData>
          </cx:tx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_xlchart.v1.41</cx:f>
      </cx:numDim>
    </cx:data>
  </cx:chartData>
  <cx:chart>
    <cx:title pos="t" align="ctr" overlay="0">
      <cx:tx>
        <cx:txData>
          <cx:v>Coverage for the left side behind breakwater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Coverage for the left side behind breakwater</a:t>
          </a:r>
        </a:p>
      </cx:txPr>
    </cx:title>
    <cx:plotArea>
      <cx:plotAreaRegion>
        <cx:series layoutId="boxWhisker" uniqueId="{00000000-1EA3-4CCF-9611-66E708AF7F25}">
          <cx:tx>
            <cx:txData>
              <cx:f>_xlchart.v1.40</cx:f>
              <cx:v>Coverage (%)</cx:v>
            </cx:txData>
          </cx:tx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_xlchart.v1.42</cx:f>
      </cx:numDim>
    </cx:data>
  </cx:chartData>
  <cx:chart>
    <cx:title pos="t" align="ctr" overlay="0">
      <cx:tx>
        <cx:txData>
          <cx:v>Shoot density for the left side between breakwater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Shoot density for the left side between breakwater</a:t>
          </a:r>
        </a:p>
      </cx:txPr>
    </cx:title>
    <cx:plotArea>
      <cx:plotAreaRegion>
        <cx:series layoutId="boxWhisker" uniqueId="{00000000-3B6D-41AC-B239-B59DA1BD87D6}">
          <cx:tx>
            <cx:txData>
              <cx:f/>
              <cx:v>Shoot density</cx:v>
            </cx:txData>
          </cx:tx>
          <cx:dataLabels pos="r">
            <cx:txPr>
              <a:bodyPr vertOverflow="overflow" horzOverflow="overflow" wrap="square" lIns="0" tIns="0" rIns="0" bIns="0"/>
              <a:lstStyle/>
              <a:p>
                <a:pPr algn="ctr" rtl="0">
                  <a:defRPr sz="800" b="1" i="0">
                    <a:solidFill>
                      <a:srgbClr val="595959"/>
                    </a:solidFill>
                    <a:latin typeface="Arial" panose="020B0604020202020204" pitchFamily="34" charset="0"/>
                    <a:ea typeface="Arial" panose="020B0604020202020204" pitchFamily="34" charset="0"/>
                    <a:cs typeface="Arial" panose="020B0604020202020204" pitchFamily="34" charset="0"/>
                  </a:defRPr>
                </a:pPr>
                <a:endParaRPr sz="800" b="1"/>
              </a:p>
            </cx:txPr>
            <cx:visibility seriesName="0" categoryName="0" value="1"/>
            <cx:separator>,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_xlchart.v1.44</cx:f>
      </cx:numDim>
    </cx:data>
  </cx:chartData>
  <cx:chart>
    <cx:title pos="t" align="ctr" overlay="0">
      <cx:tx>
        <cx:txData>
          <cx:v>Biomass for the left side between breakwater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Biomass for the left side between breakwater</a:t>
          </a:r>
        </a:p>
      </cx:txPr>
    </cx:title>
    <cx:plotArea>
      <cx:plotAreaRegion>
        <cx:series layoutId="boxWhisker" uniqueId="{00000000-59FE-4EFC-A61C-FD1501B4CD37}">
          <cx:tx>
            <cx:txData>
              <cx:f>_xlchart.v1.43</cx:f>
              <cx:v>Total Biomass (g)</cx:v>
            </cx:txData>
          </cx:tx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1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_xlchart.v1.46</cx:f>
      </cx:numDim>
    </cx:data>
  </cx:chartData>
  <cx:chart>
    <cx:title pos="t" align="ctr" overlay="0">
      <cx:tx>
        <cx:txData>
          <cx:v>Coverage for the left side between breakwater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Coverage for the left side between breakwater</a:t>
          </a:r>
        </a:p>
      </cx:txPr>
    </cx:title>
    <cx:plotArea>
      <cx:plotAreaRegion>
        <cx:series layoutId="boxWhisker" uniqueId="{00000000-5E11-4DFD-BE23-D135B3B9FF53}">
          <cx:tx>
            <cx:txData>
              <cx:f>_xlchart.v1.45</cx:f>
              <cx:v>Coverage (%)</cx:v>
            </cx:txData>
          </cx:tx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1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_xlchart.v1.47</cx:f>
      </cx:numDim>
    </cx:data>
  </cx:chartData>
  <cx:chart>
    <cx:title pos="t" align="ctr" overlay="0">
      <cx:tx>
        <cx:txData>
          <cx:v>Shoot density for the left side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Shoot density for the left side</a:t>
          </a:r>
        </a:p>
      </cx:txPr>
    </cx:title>
    <cx:plotArea>
      <cx:plotAreaRegion>
        <cx:series layoutId="boxWhisker" uniqueId="{00000000-3B6D-41AC-B239-B59DA1BD87D6}">
          <cx:tx>
            <cx:txData>
              <cx:f/>
              <cx:v>Shoot density</cx:v>
            </cx:txData>
          </cx:tx>
          <cx:dataLabels pos="r">
            <cx:txPr>
              <a:bodyPr vertOverflow="overflow" horzOverflow="overflow" wrap="square" lIns="0" tIns="0" rIns="0" bIns="0"/>
              <a:lstStyle/>
              <a:p>
                <a:pPr algn="ctr" rtl="0">
                  <a:defRPr sz="800" b="1" i="0">
                    <a:solidFill>
                      <a:srgbClr val="595959"/>
                    </a:solidFill>
                    <a:latin typeface="Arial" panose="020B0604020202020204" pitchFamily="34" charset="0"/>
                    <a:ea typeface="Arial" panose="020B0604020202020204" pitchFamily="34" charset="0"/>
                    <a:cs typeface="Arial" panose="020B0604020202020204" pitchFamily="34" charset="0"/>
                  </a:defRPr>
                </a:pPr>
                <a:endParaRPr sz="800" b="1"/>
              </a:p>
            </cx:txPr>
            <cx:visibility seriesName="0" categoryName="0" value="1"/>
            <cx:separator>,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1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_xlchart.v1.49</cx:f>
      </cx:numDim>
    </cx:data>
  </cx:chartData>
  <cx:chart>
    <cx:title pos="t" align="ctr" overlay="0">
      <cx:tx>
        <cx:txData>
          <cx:v>Biomass for the left side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Biomass for the left side</a:t>
          </a:r>
        </a:p>
      </cx:txPr>
    </cx:title>
    <cx:plotArea>
      <cx:plotAreaRegion>
        <cx:series layoutId="boxWhisker" uniqueId="{00000000-59FE-4EFC-A61C-FD1501B4CD37}">
          <cx:tx>
            <cx:txData>
              <cx:f>_xlchart.v1.48</cx:f>
              <cx:v>Total Biomass (g)</cx:v>
            </cx:txData>
          </cx:tx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1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_xlchart.v1.51</cx:f>
      </cx:numDim>
    </cx:data>
  </cx:chartData>
  <cx:chart>
    <cx:title pos="t" align="ctr" overlay="0">
      <cx:tx>
        <cx:txData>
          <cx:v>Coverage for the left side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Coverage for the left side</a:t>
          </a:r>
        </a:p>
      </cx:txPr>
    </cx:title>
    <cx:plotArea>
      <cx:plotAreaRegion>
        <cx:series layoutId="boxWhisker" uniqueId="{00000000-5E11-4DFD-BE23-D135B3B9FF53}">
          <cx:tx>
            <cx:txData>
              <cx:f>_xlchart.v1.50</cx:f>
              <cx:v>Coverage (%)</cx:v>
            </cx:txData>
          </cx:tx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1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_xlchart.v1.53</cx:f>
      </cx:numDim>
    </cx:data>
  </cx:chartData>
  <cx:chart>
    <cx:title pos="t" align="ctr" overlay="0">
      <cx:tx>
        <cx:rich>
          <a:bodyPr vertOverflow="overflow" horzOverflow="overflow" wrap="square" lIns="0" tIns="0" rIns="0" bIns="0"/>
          <a:lstStyle/>
          <a:p>
            <a:pPr algn="ctr" rtl="0">
              <a:defRPr sz="1400" b="0" i="0">
                <a:solidFill>
                  <a:srgbClr val="7F7F7F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t>Shoot density for the right side between </a:t>
            </a:r>
            <a:r>
              <a:rPr lang="en-GB"/>
              <a:t>breakwater</a:t>
            </a:r>
            <a:r>
              <a:rPr lang="en-GB" sz="1400" b="0" i="0" u="none" strike="noStrike" baseline="0">
                <a:solidFill>
                  <a:srgbClr val="000000">
                    <a:lumMod val="65000"/>
                    <a:lumOff val="35000"/>
                  </a:srgbClr>
                </a:solidFill>
                <a:latin typeface="Arial"/>
                <a:ea typeface="Arial"/>
                <a:cs typeface="Arial"/>
              </a:rPr>
              <a:t> </a:t>
            </a:r>
            <a:endParaRPr/>
          </a:p>
        </cx:rich>
      </cx:tx>
    </cx:title>
    <cx:plotArea>
      <cx:plotAreaRegion>
        <cx:series layoutId="boxWhisker" uniqueId="{00000000-DF87-41DD-AB99-877A1670A9FD}">
          <cx:tx>
            <cx:txData>
              <cx:f>_xlchart.v1.52</cx:f>
              <cx:v>Shoot density</cx:v>
            </cx:txData>
          </cx:tx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1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_xlchart.v1.54</cx:f>
      </cx:numDim>
    </cx:data>
  </cx:chartData>
  <cx:chart>
    <cx:title pos="t" align="ctr" overlay="0">
      <cx:tx>
        <cx:rich>
          <a:bodyPr vertOverflow="overflow" horzOverflow="overflow" wrap="square" lIns="0" tIns="0" rIns="0" bIns="0"/>
          <a:lstStyle/>
          <a:p>
            <a:pPr algn="ctr" rtl="0">
              <a:defRPr sz="1400" b="0" i="0">
                <a:solidFill>
                  <a:srgbClr val="7F7F7F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t>Biomass for the right side between </a:t>
            </a:r>
            <a:r>
              <a:rPr lang="en-GB"/>
              <a:t>breakwater</a:t>
            </a:r>
            <a:endParaRPr/>
          </a:p>
        </cx:rich>
      </cx:tx>
    </cx:title>
    <cx:plotArea>
      <cx:plotAreaRegion>
        <cx:series layoutId="boxWhisker" uniqueId="{00000000-5FB8-45E9-A409-9082DEE1A1D4}"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1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_xlchart.v1.56</cx:f>
      </cx:numDim>
    </cx:data>
  </cx:chartData>
  <cx:chart>
    <cx:title pos="t" align="ctr" overlay="0">
      <cx:tx>
        <cx:rich>
          <a:bodyPr vertOverflow="overflow" horzOverflow="overflow" wrap="square" lIns="0" tIns="0" rIns="0" bIns="0"/>
          <a:lstStyle/>
          <a:p>
            <a:pPr algn="ctr" rtl="0">
              <a:defRPr sz="1400" b="0" i="0">
                <a:solidFill>
                  <a:srgbClr val="7F7F7F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t>Coverage for the right side between </a:t>
            </a:r>
            <a:r>
              <a:rPr lang="en-GB"/>
              <a:t>breakwater</a:t>
            </a:r>
            <a:endParaRPr/>
          </a:p>
        </cx:rich>
      </cx:tx>
    </cx:title>
    <cx:plotArea>
      <cx:plotAreaRegion>
        <cx:series layoutId="boxWhisker" uniqueId="{00000000-4ED7-4233-88DE-745EBEEAB2AC}">
          <cx:tx>
            <cx:txData>
              <cx:f>_xlchart.v1.55</cx:f>
              <cx:v>Coverage</cx:v>
            </cx:txData>
          </cx:tx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1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_xlchart.v1.58</cx:f>
      </cx:numDim>
    </cx:data>
  </cx:chartData>
  <cx:chart>
    <cx:title pos="t" align="ctr" overlay="0">
      <cx:tx>
        <cx:rich>
          <a:bodyPr vertOverflow="overflow" horzOverflow="overflow" wrap="square" lIns="0" tIns="0" rIns="0" bIns="0"/>
          <a:lstStyle/>
          <a:p>
            <a:pPr algn="ctr" rtl="0">
              <a:defRPr sz="1400" b="0" i="0">
                <a:solidFill>
                  <a:srgbClr val="7F7F7F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t>Shoot density for the right side behind </a:t>
            </a:r>
            <a:r>
              <a:rPr lang="en-GB"/>
              <a:t>breakwater</a:t>
            </a:r>
            <a:endParaRPr/>
          </a:p>
        </cx:rich>
      </cx:tx>
    </cx:title>
    <cx:plotArea>
      <cx:plotAreaRegion>
        <cx:series layoutId="boxWhisker" uniqueId="{00000000-DF87-41DD-AB99-877A1670A9FD}">
          <cx:tx>
            <cx:txData>
              <cx:f>_xlchart.v1.57</cx:f>
              <cx:v>Shoot density</cx:v>
            </cx:txData>
          </cx:tx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2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_xlchart.v1.59</cx:f>
      </cx:numDim>
    </cx:data>
  </cx:chartData>
  <cx:chart>
    <cx:title pos="t" align="ctr" overlay="0">
      <cx:tx>
        <cx:rich>
          <a:bodyPr vertOverflow="overflow" horzOverflow="overflow" wrap="square" lIns="0" tIns="0" rIns="0" bIns="0"/>
          <a:lstStyle/>
          <a:p>
            <a:pPr algn="ctr" rtl="0">
              <a:defRPr sz="1400" b="0" i="0">
                <a:solidFill>
                  <a:srgbClr val="7F7F7F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t>Biomass for the right side behind </a:t>
            </a:r>
            <a:r>
              <a:rPr lang="en-GB"/>
              <a:t>breakwater</a:t>
            </a:r>
            <a:endParaRPr/>
          </a:p>
        </cx:rich>
      </cx:tx>
    </cx:title>
    <cx:plotArea>
      <cx:plotAreaRegion>
        <cx:series layoutId="boxWhisker" uniqueId="{00000000-5FB8-45E9-A409-9082DEE1A1D4}"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2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_xlchart.v1.61</cx:f>
      </cx:numDim>
    </cx:data>
  </cx:chartData>
  <cx:chart>
    <cx:title pos="t" align="ctr" overlay="0">
      <cx:tx>
        <cx:rich>
          <a:bodyPr vertOverflow="overflow" horzOverflow="overflow" wrap="square" lIns="0" tIns="0" rIns="0" bIns="0"/>
          <a:lstStyle/>
          <a:p>
            <a:pPr algn="ctr" rtl="0">
              <a:defRPr sz="1400" b="0" i="0">
                <a:solidFill>
                  <a:srgbClr val="7F7F7F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t>Coverage for the right side behind </a:t>
            </a:r>
            <a:r>
              <a:rPr lang="en-GB"/>
              <a:t>breakwater</a:t>
            </a:r>
            <a:endParaRPr/>
          </a:p>
        </cx:rich>
      </cx:tx>
    </cx:title>
    <cx:plotArea>
      <cx:plotAreaRegion>
        <cx:series layoutId="boxWhisker" uniqueId="{00000000-4ED7-4233-88DE-745EBEEAB2AC}">
          <cx:tx>
            <cx:txData>
              <cx:f>_xlchart.v1.60</cx:f>
              <cx:v>Coverage</cx:v>
            </cx:txData>
          </cx:tx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2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_xlchart.v1.63</cx:f>
      </cx:numDim>
    </cx:data>
  </cx:chartData>
  <cx:chart>
    <cx:title pos="t" align="ctr" overlay="0">
      <cx:tx>
        <cx:txData>
          <cx:v>Shoot density for the right side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Shoot density for the right side</a:t>
          </a:r>
        </a:p>
      </cx:txPr>
    </cx:title>
    <cx:plotArea>
      <cx:plotAreaRegion>
        <cx:series layoutId="boxWhisker" uniqueId="{00000000-DF87-41DD-AB99-877A1670A9FD}">
          <cx:tx>
            <cx:txData>
              <cx:f>_xlchart.v1.62</cx:f>
              <cx:v>Shoot density</cx:v>
            </cx:txData>
          </cx:tx>
          <cx:spPr>
            <a:solidFill>
              <a:schemeClr val="accent4">
                <a:lumMod val="40000"/>
                <a:lumOff val="60000"/>
              </a:schemeClr>
            </a:solidFill>
          </cx:spPr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2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_xlchart.v1.64</cx:f>
      </cx:numDim>
    </cx:data>
  </cx:chartData>
  <cx:chart>
    <cx:title pos="t" align="ctr" overlay="0">
      <cx:tx>
        <cx:txData>
          <cx:v>Biomass for the right side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Biomass for the right side</a:t>
          </a:r>
        </a:p>
      </cx:txPr>
    </cx:title>
    <cx:plotArea>
      <cx:plotAreaRegion>
        <cx:series layoutId="boxWhisker" uniqueId="{00000000-5FB8-45E9-A409-9082DEE1A1D4}">
          <cx:spPr>
            <a:solidFill>
              <a:schemeClr val="accent4">
                <a:lumMod val="40000"/>
                <a:lumOff val="60000"/>
              </a:schemeClr>
            </a:solidFill>
          </cx:spPr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2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_xlchart.v1.66</cx:f>
      </cx:numDim>
    </cx:data>
  </cx:chartData>
  <cx:chart>
    <cx:title pos="t" align="ctr" overlay="0">
      <cx:tx>
        <cx:txData>
          <cx:v>Coverage for the right side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Coverage for the right side</a:t>
          </a:r>
        </a:p>
      </cx:txPr>
    </cx:title>
    <cx:plotArea>
      <cx:plotAreaRegion>
        <cx:series layoutId="boxWhisker" uniqueId="{00000000-4ED7-4233-88DE-745EBEEAB2AC}">
          <cx:tx>
            <cx:txData>
              <cx:f>_xlchart.v1.65</cx:f>
              <cx:v>Coverage</cx:v>
            </cx:txData>
          </cx:tx>
          <cx:spPr>
            <a:solidFill>
              <a:schemeClr val="accent4">
                <a:lumMod val="40000"/>
                <a:lumOff val="60000"/>
              </a:schemeClr>
            </a:solidFill>
          </cx:spPr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2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_xlchart.v1.67</cx:f>
      </cx:numDim>
    </cx:data>
  </cx:chartData>
  <cx:chart>
    <cx:title pos="t" align="ctr" overlay="0">
      <cx:tx>
        <cx:txData>
          <cx:v>Total Biomass (g) for Left, Between Breakwater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Total Biomass (g) for Left, Between Breakwater</a:t>
          </a:r>
        </a:p>
      </cx:txPr>
    </cx:title>
    <cx:plotArea>
      <cx:plotAreaRegion>
        <cx:series layoutId="boxWhisker" uniqueId="{4EB97AAA-0551-7F4D-9906-6D87AAFE5599}"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2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_xlchart.v1.68</cx:f>
      </cx:numDim>
    </cx:data>
  </cx:chartData>
  <cx:chart>
    <cx:title pos="t" align="ctr" overlay="0">
      <cx:tx>
        <cx:txData>
          <cx:v>Shoot Density for Left, Between Breakwaters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Shoot Density for Left, Between Breakwaters</a:t>
          </a:r>
        </a:p>
      </cx:txPr>
    </cx:title>
    <cx:plotArea>
      <cx:plotAreaRegion>
        <cx:series layoutId="boxWhisker" uniqueId="{3755A504-12E6-C542-8DEF-1E81261DA662}"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2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_xlchart.v1.69</cx:f>
      </cx:numDim>
    </cx:data>
  </cx:chartData>
  <cx:chart>
    <cx:title pos="t" align="ctr" overlay="0">
      <cx:tx>
        <cx:txData>
          <cx:v>Coverage for Left, Between Breakwaters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Coverage for Left, Between Breakwaters</a:t>
          </a:r>
        </a:p>
      </cx:txPr>
    </cx:title>
    <cx:plotArea>
      <cx:plotAreaRegion>
        <cx:series layoutId="boxWhisker" uniqueId="{4BCCB32C-650A-3D4D-9672-88A8A94D174E}"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2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_xlchart.v1.70</cx:f>
      </cx:numDim>
    </cx:data>
  </cx:chartData>
  <cx:chart>
    <cx:title pos="t" align="ctr" overlay="0">
      <cx:tx>
        <cx:txData>
          <cx:v>Coverage for Left Behind Breakwater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Coverage for Left Behind Breakwater</a:t>
          </a:r>
        </a:p>
      </cx:txPr>
    </cx:title>
    <cx:plotArea>
      <cx:plotAreaRegion>
        <cx:series layoutId="boxWhisker" uniqueId="{7D220231-0BA6-A045-8067-7507E97156B2}"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2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_xlchart.v1.71</cx:f>
      </cx:numDim>
    </cx:data>
  </cx:chartData>
  <cx:chart>
    <cx:title pos="t" align="ctr" overlay="0">
      <cx:tx>
        <cx:txData>
          <cx:v>Shoot Density for Left Behind Breakwater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Shoot Density for Left Behind Breakwater</a:t>
          </a:r>
        </a:p>
      </cx:txPr>
    </cx:title>
    <cx:plotArea>
      <cx:plotAreaRegion>
        <cx:series layoutId="boxWhisker" uniqueId="{E33433D7-E942-E546-A823-73577C9EE5C3}"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3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_xlchart.v1.72</cx:f>
      </cx:numDim>
    </cx:data>
  </cx:chartData>
  <cx:chart>
    <cx:title pos="t" align="ctr" overlay="0">
      <cx:tx>
        <cx:txData>
          <cx:v>Total Biomass for Left Behind Breakwater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Total Biomass for Left Behind Breakwater</a:t>
          </a:r>
        </a:p>
      </cx:txPr>
    </cx:title>
    <cx:plotArea>
      <cx:plotAreaRegion>
        <cx:series layoutId="boxWhisker" uniqueId="{43D28389-B669-C04B-8EAE-45ED547D3A44}"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3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_xlchart.v1.73</cx:f>
      </cx:numDim>
    </cx:data>
  </cx:chartData>
  <cx:chart>
    <cx:title pos="t" align="ctr" overlay="0">
      <cx:tx>
        <cx:txData>
          <cx:v>Coverage for Right Between Breakwaters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Coverage for Right Between Breakwaters</a:t>
          </a:r>
        </a:p>
      </cx:txPr>
    </cx:title>
    <cx:plotArea>
      <cx:plotAreaRegion>
        <cx:series layoutId="boxWhisker" uniqueId="{23D0255D-9486-A64A-AD78-A301F0081BC8}"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3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_xlchart.v1.74</cx:f>
      </cx:numDim>
    </cx:data>
  </cx:chartData>
  <cx:chart>
    <cx:title pos="t" align="ctr" overlay="0">
      <cx:tx>
        <cx:txData>
          <cx:v>Shoot Density for Right between Breakwaters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Shoot Density for Right between Breakwaters</a:t>
          </a:r>
        </a:p>
      </cx:txPr>
    </cx:title>
    <cx:plotArea>
      <cx:plotAreaRegion>
        <cx:series layoutId="boxWhisker" uniqueId="{5EB3E3F0-2567-8C47-8B64-17EBD9D70E66}"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3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_xlchart.v1.75</cx:f>
      </cx:numDim>
    </cx:data>
  </cx:chartData>
  <cx:chart>
    <cx:title pos="t" align="ctr" overlay="0">
      <cx:tx>
        <cx:txData>
          <cx:v>Biomass for Right between Breakwaters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Biomass for Right between Breakwaters</a:t>
          </a:r>
        </a:p>
      </cx:txPr>
    </cx:title>
    <cx:plotArea>
      <cx:plotAreaRegion>
        <cx:series layoutId="boxWhisker" uniqueId="{B9F029F5-2FCE-CA4F-8AC2-CAFF5A08F425}"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3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_xlchart.v1.76</cx:f>
      </cx:numDim>
    </cx:data>
  </cx:chartData>
  <cx:chart>
    <cx:title pos="t" align="ctr" overlay="0">
      <cx:tx>
        <cx:txData>
          <cx:v>Coverage for Right, Behind Breakwaters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Coverage for Right, Behind Breakwaters</a:t>
          </a:r>
        </a:p>
      </cx:txPr>
    </cx:title>
    <cx:plotArea>
      <cx:plotAreaRegion>
        <cx:series layoutId="boxWhisker" uniqueId="{FC0218C5-11EA-0A43-988A-AB054163C1A2}"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3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_xlchart.v1.77</cx:f>
      </cx:numDim>
    </cx:data>
  </cx:chartData>
  <cx:chart>
    <cx:title pos="t" align="ctr" overlay="0">
      <cx:tx>
        <cx:txData>
          <cx:v>Shoot Density for Right, Behind Breakwaters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Shoot Density for Right, Behind Breakwaters</a:t>
          </a:r>
        </a:p>
      </cx:txPr>
    </cx:title>
    <cx:plotArea>
      <cx:plotAreaRegion>
        <cx:series layoutId="boxWhisker" uniqueId="{17AE96C6-6AC5-484E-8D7F-7EFD35C417CE}"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3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_xlchart.v1.78</cx:f>
      </cx:numDim>
    </cx:data>
  </cx:chartData>
  <cx:chart>
    <cx:title pos="t" align="ctr" overlay="0">
      <cx:tx>
        <cx:txData>
          <cx:v>Total Biomass for Right, Behind Breakwater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Total Biomass for Right, Behind Breakwater</a:t>
          </a:r>
        </a:p>
      </cx:txPr>
    </cx:title>
    <cx:plotArea>
      <cx:plotAreaRegion>
        <cx:series layoutId="boxWhisker" uniqueId="{9CAF7B57-9782-1142-9530-489F5056A412}"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8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9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0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8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9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0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6.xml"/><Relationship Id="rId2" Type="http://schemas.microsoft.com/office/2014/relationships/chartEx" Target="../charts/chartEx5.xml"/><Relationship Id="rId1" Type="http://schemas.microsoft.com/office/2014/relationships/chartEx" Target="../charts/chartEx4.xml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14/relationships/chartEx" Target="../charts/chartEx9.xml"/><Relationship Id="rId2" Type="http://schemas.microsoft.com/office/2014/relationships/chartEx" Target="../charts/chartEx8.xml"/><Relationship Id="rId1" Type="http://schemas.microsoft.com/office/2014/relationships/chartEx" Target="../charts/chartEx7.xml"/></Relationships>
</file>

<file path=xl/drawings/_rels/drawing4.xml.rels><?xml version="1.0" encoding="UTF-8" standalone="yes"?>
<Relationships xmlns="http://schemas.openxmlformats.org/package/2006/relationships"><Relationship Id="rId3" Type="http://schemas.microsoft.com/office/2014/relationships/chartEx" Target="../charts/chartEx12.xml"/><Relationship Id="rId2" Type="http://schemas.microsoft.com/office/2014/relationships/chartEx" Target="../charts/chartEx11.xml"/><Relationship Id="rId1" Type="http://schemas.microsoft.com/office/2014/relationships/chartEx" Target="../charts/chartEx10.xml"/></Relationships>
</file>

<file path=xl/drawings/_rels/drawing5.xml.rels><?xml version="1.0" encoding="UTF-8" standalone="yes"?>
<Relationships xmlns="http://schemas.openxmlformats.org/package/2006/relationships"><Relationship Id="rId3" Type="http://schemas.microsoft.com/office/2014/relationships/chartEx" Target="../charts/chartEx15.xml"/><Relationship Id="rId2" Type="http://schemas.microsoft.com/office/2014/relationships/chartEx" Target="../charts/chartEx14.xml"/><Relationship Id="rId1" Type="http://schemas.microsoft.com/office/2014/relationships/chartEx" Target="../charts/chartEx13.xml"/></Relationships>
</file>

<file path=xl/drawings/_rels/drawing6.xml.rels><?xml version="1.0" encoding="UTF-8" standalone="yes"?>
<Relationships xmlns="http://schemas.openxmlformats.org/package/2006/relationships"><Relationship Id="rId3" Type="http://schemas.microsoft.com/office/2014/relationships/chartEx" Target="../charts/chartEx18.xml"/><Relationship Id="rId2" Type="http://schemas.microsoft.com/office/2014/relationships/chartEx" Target="../charts/chartEx17.xml"/><Relationship Id="rId1" Type="http://schemas.microsoft.com/office/2014/relationships/chartEx" Target="../charts/chartEx16.xml"/></Relationships>
</file>

<file path=xl/drawings/_rels/drawing7.xml.rels><?xml version="1.0" encoding="UTF-8" standalone="yes"?>
<Relationships xmlns="http://schemas.openxmlformats.org/package/2006/relationships"><Relationship Id="rId3" Type="http://schemas.microsoft.com/office/2014/relationships/chartEx" Target="../charts/chartEx21.xml"/><Relationship Id="rId2" Type="http://schemas.microsoft.com/office/2014/relationships/chartEx" Target="../charts/chartEx20.xml"/><Relationship Id="rId1" Type="http://schemas.microsoft.com/office/2014/relationships/chartEx" Target="../charts/chartEx19.xml"/></Relationships>
</file>

<file path=xl/drawings/_rels/drawing8.xml.rels><?xml version="1.0" encoding="UTF-8" standalone="yes"?>
<Relationships xmlns="http://schemas.openxmlformats.org/package/2006/relationships"><Relationship Id="rId3" Type="http://schemas.microsoft.com/office/2014/relationships/chartEx" Target="../charts/chartEx24.xml"/><Relationship Id="rId2" Type="http://schemas.microsoft.com/office/2014/relationships/chartEx" Target="../charts/chartEx23.xml"/><Relationship Id="rId1" Type="http://schemas.microsoft.com/office/2014/relationships/chartEx" Target="../charts/chartEx22.xml"/></Relationships>
</file>

<file path=xl/drawings/_rels/drawing9.xml.rels><?xml version="1.0" encoding="UTF-8" standalone="yes"?>
<Relationships xmlns="http://schemas.openxmlformats.org/package/2006/relationships"><Relationship Id="rId3" Type="http://schemas.microsoft.com/office/2014/relationships/chartEx" Target="../charts/chartEx27.xml"/><Relationship Id="rId2" Type="http://schemas.microsoft.com/office/2014/relationships/chartEx" Target="../charts/chartEx26.xml"/><Relationship Id="rId1" Type="http://schemas.microsoft.com/office/2014/relationships/chartEx" Target="../charts/chartEx25.xml"/></Relationships>
</file>

<file path=xl/drawings/_rels/drawing10.xml.rels><?xml version="1.0" encoding="UTF-8" standalone="yes"?>
<Relationships xmlns="http://schemas.openxmlformats.org/package/2006/relationships"><Relationship Id="rId3" Type="http://schemas.microsoft.com/office/2014/relationships/chartEx" Target="../charts/chartEx30.xml"/><Relationship Id="rId2" Type="http://schemas.microsoft.com/office/2014/relationships/chartEx" Target="../charts/chartEx29.xml"/><Relationship Id="rId1" Type="http://schemas.microsoft.com/office/2014/relationships/chartEx" Target="../charts/chartEx28.xml"/></Relationships>
</file>

<file path=xl/drawings/_rels/drawing11.xml.rels><?xml version="1.0" encoding="UTF-8" standalone="yes"?>
<Relationships xmlns="http://schemas.openxmlformats.org/package/2006/relationships"><Relationship Id="rId3" Type="http://schemas.microsoft.com/office/2014/relationships/chartEx" Target="../charts/chartEx33.xml"/><Relationship Id="rId2" Type="http://schemas.microsoft.com/office/2014/relationships/chartEx" Target="../charts/chartEx32.xml"/><Relationship Id="rId1" Type="http://schemas.microsoft.com/office/2014/relationships/chartEx" Target="../charts/chartEx31.xml"/></Relationships>
</file>

<file path=xl/drawings/_rels/drawing12.xml.rels><?xml version="1.0" encoding="UTF-8" standalone="yes"?>
<Relationships xmlns="http://schemas.openxmlformats.org/package/2006/relationships"><Relationship Id="rId3" Type="http://schemas.microsoft.com/office/2014/relationships/chartEx" Target="../charts/chartEx36.xml"/><Relationship Id="rId2" Type="http://schemas.microsoft.com/office/2014/relationships/chartEx" Target="../charts/chartEx35.xml"/><Relationship Id="rId1" Type="http://schemas.microsoft.com/office/2014/relationships/chartEx" Target="../charts/chartEx3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416984</xdr:colOff>
      <xdr:row>87</xdr:row>
      <xdr:rowOff>52917</xdr:rowOff>
    </xdr:from>
    <xdr:to>
      <xdr:col>16</xdr:col>
      <xdr:colOff>50303</xdr:colOff>
      <xdr:row>109</xdr:row>
      <xdr:rowOff>83671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FD0DE31A-CA10-6783-EBA8-F2F27998BF4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89684" y="14416617"/>
              <a:ext cx="4891119" cy="366295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16</xdr:col>
      <xdr:colOff>95374</xdr:colOff>
      <xdr:row>83</xdr:row>
      <xdr:rowOff>139699</xdr:rowOff>
    </xdr:from>
    <xdr:to>
      <xdr:col>22</xdr:col>
      <xdr:colOff>46815</xdr:colOff>
      <xdr:row>105</xdr:row>
      <xdr:rowOff>127995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77DBAE60-BEA4-F1A7-349A-DD46D2B998E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525874" y="13842999"/>
              <a:ext cx="5209241" cy="362049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385232</xdr:colOff>
      <xdr:row>88</xdr:row>
      <xdr:rowOff>23656</xdr:rowOff>
    </xdr:from>
    <xdr:to>
      <xdr:col>10</xdr:col>
      <xdr:colOff>62753</xdr:colOff>
      <xdr:row>108</xdr:row>
      <xdr:rowOff>69226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5672CBFA-D626-9734-7A0A-EC5D8A2C827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00132" y="14552456"/>
              <a:ext cx="4935321" cy="33475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807508</xdr:colOff>
      <xdr:row>47</xdr:row>
      <xdr:rowOff>34925</xdr:rowOff>
    </xdr:from>
    <xdr:to>
      <xdr:col>10</xdr:col>
      <xdr:colOff>184150</xdr:colOff>
      <xdr:row>68</xdr:row>
      <xdr:rowOff>137583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4">
              <a:extLst>
                <a:ext uri="{FF2B5EF4-FFF2-40B4-BE49-F238E27FC236}">
                  <a16:creationId xmlns:a16="http://schemas.microsoft.com/office/drawing/2014/main" id="{B450F857-B91B-DD69-D138-63584E8744E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35108" y="7993592"/>
              <a:ext cx="4896909" cy="365865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66675</xdr:colOff>
      <xdr:row>47</xdr:row>
      <xdr:rowOff>57150</xdr:rowOff>
    </xdr:from>
    <xdr:to>
      <xdr:col>17</xdr:col>
      <xdr:colOff>180975</xdr:colOff>
      <xdr:row>68</xdr:row>
      <xdr:rowOff>142875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2B53F889-2747-555E-1354-87A2DF82A8A5}"/>
                </a:ext>
                <a:ext uri="{147F2762-F138-4A5C-976F-8EAC2B608ADB}">
                  <a16:predDERef xmlns:a16="http://schemas.microsoft.com/office/drawing/2014/main" pred="{B450F857-B91B-DD69-D138-63584E8744E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356975" y="7816850"/>
              <a:ext cx="5511800" cy="3552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18</xdr:col>
      <xdr:colOff>542925</xdr:colOff>
      <xdr:row>46</xdr:row>
      <xdr:rowOff>38100</xdr:rowOff>
    </xdr:from>
    <xdr:to>
      <xdr:col>24</xdr:col>
      <xdr:colOff>638175</xdr:colOff>
      <xdr:row>67</xdr:row>
      <xdr:rowOff>133350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D8F0AB9D-5385-7CF1-F5B3-E834975A0BAF}"/>
                </a:ext>
                <a:ext uri="{147F2762-F138-4A5C-976F-8EAC2B608ADB}">
                  <a16:predDERef xmlns:a16="http://schemas.microsoft.com/office/drawing/2014/main" pred="{2B53F889-2747-555E-1354-87A2DF82A8A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183225" y="7632700"/>
              <a:ext cx="5353050" cy="3562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200025</xdr:colOff>
      <xdr:row>5</xdr:row>
      <xdr:rowOff>66675</xdr:rowOff>
    </xdr:from>
    <xdr:to>
      <xdr:col>12</xdr:col>
      <xdr:colOff>504825</xdr:colOff>
      <xdr:row>22</xdr:row>
      <xdr:rowOff>57150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7" name="Chart 5">
              <a:extLst>
                <a:ext uri="{FF2B5EF4-FFF2-40B4-BE49-F238E27FC236}">
                  <a16:creationId xmlns:a16="http://schemas.microsoft.com/office/drawing/2014/main" id="{8BCCF717-D062-42AB-B165-FAA22539E41E}"/>
                </a:ext>
                <a:ext uri="{147F2762-F138-4A5C-976F-8EAC2B608ADB}">
                  <a16:predDERef xmlns:a16="http://schemas.microsoft.com/office/drawing/2014/main" pred="{F5081B6F-1C4E-4B85-92F1-17E09389950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91225" y="892175"/>
              <a:ext cx="6438900" cy="2797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180975</xdr:colOff>
      <xdr:row>23</xdr:row>
      <xdr:rowOff>0</xdr:rowOff>
    </xdr:from>
    <xdr:to>
      <xdr:col>12</xdr:col>
      <xdr:colOff>485775</xdr:colOff>
      <xdr:row>39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8" name="Chart 4">
              <a:extLst>
                <a:ext uri="{FF2B5EF4-FFF2-40B4-BE49-F238E27FC236}">
                  <a16:creationId xmlns:a16="http://schemas.microsoft.com/office/drawing/2014/main" id="{91C0D91B-FBA3-D9A8-EE87-0F3F85D79006}"/>
                </a:ext>
                <a:ext uri="{147F2762-F138-4A5C-976F-8EAC2B608ADB}">
                  <a16:predDERef xmlns:a16="http://schemas.microsoft.com/office/drawing/2014/main" pred="{8BCCF717-D062-42AB-B165-FAA22539E41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72175" y="3797300"/>
              <a:ext cx="6438900" cy="2794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38100</xdr:colOff>
      <xdr:row>16</xdr:row>
      <xdr:rowOff>104775</xdr:rowOff>
    </xdr:from>
    <xdr:to>
      <xdr:col>20</xdr:col>
      <xdr:colOff>342900</xdr:colOff>
      <xdr:row>33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6" name="Chart 5">
              <a:extLst>
                <a:ext uri="{FF2B5EF4-FFF2-40B4-BE49-F238E27FC236}">
                  <a16:creationId xmlns:a16="http://schemas.microsoft.com/office/drawing/2014/main" id="{FD127DA4-ABE1-0697-30EF-BD32A5F14897}"/>
                </a:ext>
                <a:ext uri="{147F2762-F138-4A5C-976F-8EAC2B608ADB}">
                  <a16:predDERef xmlns:a16="http://schemas.microsoft.com/office/drawing/2014/main" pred="{91C0D91B-FBA3-D9A8-EE87-0F3F85D7900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839700" y="2746375"/>
              <a:ext cx="6438900" cy="2797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28</xdr:row>
      <xdr:rowOff>133350</xdr:rowOff>
    </xdr:from>
    <xdr:to>
      <xdr:col>12</xdr:col>
      <xdr:colOff>342900</xdr:colOff>
      <xdr:row>45</xdr:row>
      <xdr:rowOff>123825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8" name="Chart 2">
              <a:extLst>
                <a:ext uri="{FF2B5EF4-FFF2-40B4-BE49-F238E27FC236}">
                  <a16:creationId xmlns:a16="http://schemas.microsoft.com/office/drawing/2014/main" id="{D088A9A8-AE27-4876-B64B-CB9F013FF9E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29300" y="4756150"/>
              <a:ext cx="6438900" cy="2797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200025</xdr:colOff>
      <xdr:row>49</xdr:row>
      <xdr:rowOff>66675</xdr:rowOff>
    </xdr:from>
    <xdr:to>
      <xdr:col>12</xdr:col>
      <xdr:colOff>504825</xdr:colOff>
      <xdr:row>66</xdr:row>
      <xdr:rowOff>57150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7" name="Chart 5">
              <a:extLst>
                <a:ext uri="{FF2B5EF4-FFF2-40B4-BE49-F238E27FC236}">
                  <a16:creationId xmlns:a16="http://schemas.microsoft.com/office/drawing/2014/main" id="{DD83BE51-3E5F-4DF8-A194-AA015CDE97DD}"/>
                </a:ext>
                <a:ext uri="{147F2762-F138-4A5C-976F-8EAC2B608ADB}">
                  <a16:predDERef xmlns:a16="http://schemas.microsoft.com/office/drawing/2014/main" pred="{D088A9A8-AE27-4876-B64B-CB9F013FF9E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91225" y="8156575"/>
              <a:ext cx="6438900" cy="2797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514350</xdr:colOff>
      <xdr:row>8</xdr:row>
      <xdr:rowOff>142875</xdr:rowOff>
    </xdr:from>
    <xdr:to>
      <xdr:col>12</xdr:col>
      <xdr:colOff>209550</xdr:colOff>
      <xdr:row>25</xdr:row>
      <xdr:rowOff>133350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6" name="Chart 6">
              <a:extLst>
                <a:ext uri="{FF2B5EF4-FFF2-40B4-BE49-F238E27FC236}">
                  <a16:creationId xmlns:a16="http://schemas.microsoft.com/office/drawing/2014/main" id="{048D29DE-F6BC-4965-8C4B-BCA3EC4E4E5A}"/>
                </a:ext>
                <a:ext uri="{147F2762-F138-4A5C-976F-8EAC2B608ADB}">
                  <a16:predDERef xmlns:a16="http://schemas.microsoft.com/office/drawing/2014/main" pred="{DD83BE51-3E5F-4DF8-A194-AA015CDE97D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29250" y="1463675"/>
              <a:ext cx="6705600" cy="2797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28</xdr:row>
      <xdr:rowOff>133350</xdr:rowOff>
    </xdr:from>
    <xdr:to>
      <xdr:col>12</xdr:col>
      <xdr:colOff>342900</xdr:colOff>
      <xdr:row>45</xdr:row>
      <xdr:rowOff>123825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7" name="Chart 2">
              <a:extLst>
                <a:ext uri="{FF2B5EF4-FFF2-40B4-BE49-F238E27FC236}">
                  <a16:creationId xmlns:a16="http://schemas.microsoft.com/office/drawing/2014/main" id="{E003A781-C3B8-784E-EF3D-EA41ED3080A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29300" y="4756150"/>
              <a:ext cx="6438900" cy="2797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200025</xdr:colOff>
      <xdr:row>49</xdr:row>
      <xdr:rowOff>66675</xdr:rowOff>
    </xdr:from>
    <xdr:to>
      <xdr:col>12</xdr:col>
      <xdr:colOff>504825</xdr:colOff>
      <xdr:row>66</xdr:row>
      <xdr:rowOff>57150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8" name="Chart 5">
              <a:extLst>
                <a:ext uri="{FF2B5EF4-FFF2-40B4-BE49-F238E27FC236}">
                  <a16:creationId xmlns:a16="http://schemas.microsoft.com/office/drawing/2014/main" id="{00C95240-4968-E46C-EC78-C423AC807F55}"/>
                </a:ext>
                <a:ext uri="{147F2762-F138-4A5C-976F-8EAC2B608ADB}">
                  <a16:predDERef xmlns:a16="http://schemas.microsoft.com/office/drawing/2014/main" pred="{E003A781-C3B8-784E-EF3D-EA41ED3080A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91225" y="8156575"/>
              <a:ext cx="6438900" cy="2797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514350</xdr:colOff>
      <xdr:row>8</xdr:row>
      <xdr:rowOff>142875</xdr:rowOff>
    </xdr:from>
    <xdr:to>
      <xdr:col>12</xdr:col>
      <xdr:colOff>209550</xdr:colOff>
      <xdr:row>25</xdr:row>
      <xdr:rowOff>133350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6" name="Chart 6">
              <a:extLst>
                <a:ext uri="{FF2B5EF4-FFF2-40B4-BE49-F238E27FC236}">
                  <a16:creationId xmlns:a16="http://schemas.microsoft.com/office/drawing/2014/main" id="{978DF5F2-96EA-F424-E35D-DAAC8238FB8D}"/>
                </a:ext>
                <a:ext uri="{147F2762-F138-4A5C-976F-8EAC2B608ADB}">
                  <a16:predDERef xmlns:a16="http://schemas.microsoft.com/office/drawing/2014/main" pred="{00C95240-4968-E46C-EC78-C423AC807F5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29250" y="1463675"/>
              <a:ext cx="6705600" cy="2797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209550</xdr:colOff>
      <xdr:row>34</xdr:row>
      <xdr:rowOff>85725</xdr:rowOff>
    </xdr:from>
    <xdr:to>
      <xdr:col>11</xdr:col>
      <xdr:colOff>514350</xdr:colOff>
      <xdr:row>51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4" name="Chart 4">
              <a:extLst>
                <a:ext uri="{FF2B5EF4-FFF2-40B4-BE49-F238E27FC236}">
                  <a16:creationId xmlns:a16="http://schemas.microsoft.com/office/drawing/2014/main" id="{29E3910B-EBE2-4FBA-89DD-4F8C7264FF0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29250" y="5699125"/>
              <a:ext cx="6438900" cy="2797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228600</xdr:colOff>
      <xdr:row>15</xdr:row>
      <xdr:rowOff>76200</xdr:rowOff>
    </xdr:from>
    <xdr:to>
      <xdr:col>11</xdr:col>
      <xdr:colOff>533400</xdr:colOff>
      <xdr:row>32</xdr:row>
      <xdr:rowOff>66675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5">
              <a:extLst>
                <a:ext uri="{FF2B5EF4-FFF2-40B4-BE49-F238E27FC236}">
                  <a16:creationId xmlns:a16="http://schemas.microsoft.com/office/drawing/2014/main" id="{9EA6E42C-5062-4D58-B3D6-C736BC94F5DF}"/>
                </a:ext>
                <a:ext uri="{147F2762-F138-4A5C-976F-8EAC2B608ADB}">
                  <a16:predDERef xmlns:a16="http://schemas.microsoft.com/office/drawing/2014/main" pred="{29E3910B-EBE2-4FBA-89DD-4F8C7264FF0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48300" y="2552700"/>
              <a:ext cx="6438900" cy="2797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219075</xdr:colOff>
      <xdr:row>28</xdr:row>
      <xdr:rowOff>152400</xdr:rowOff>
    </xdr:from>
    <xdr:to>
      <xdr:col>19</xdr:col>
      <xdr:colOff>523875</xdr:colOff>
      <xdr:row>45</xdr:row>
      <xdr:rowOff>142875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Chart 6">
              <a:extLst>
                <a:ext uri="{FF2B5EF4-FFF2-40B4-BE49-F238E27FC236}">
                  <a16:creationId xmlns:a16="http://schemas.microsoft.com/office/drawing/2014/main" id="{21DA0D5F-E599-48C0-BCB0-8CAC9153C44C}"/>
                </a:ext>
                <a:ext uri="{147F2762-F138-4A5C-976F-8EAC2B608ADB}">
                  <a16:predDERef xmlns:a16="http://schemas.microsoft.com/office/drawing/2014/main" pred="{9EA6E42C-5062-4D58-B3D6-C736BC94F5D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449175" y="4775200"/>
              <a:ext cx="6438900" cy="2797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190500</xdr:colOff>
      <xdr:row>38</xdr:row>
      <xdr:rowOff>47625</xdr:rowOff>
    </xdr:from>
    <xdr:to>
      <xdr:col>11</xdr:col>
      <xdr:colOff>495300</xdr:colOff>
      <xdr:row>55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5" name="Chart 4">
              <a:extLst>
                <a:ext uri="{FF2B5EF4-FFF2-40B4-BE49-F238E27FC236}">
                  <a16:creationId xmlns:a16="http://schemas.microsoft.com/office/drawing/2014/main" id="{0E0650FC-907D-4D59-BB5A-474021A2BF5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10200" y="6321425"/>
              <a:ext cx="6438900" cy="2797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228600</xdr:colOff>
      <xdr:row>15</xdr:row>
      <xdr:rowOff>76200</xdr:rowOff>
    </xdr:from>
    <xdr:to>
      <xdr:col>11</xdr:col>
      <xdr:colOff>533400</xdr:colOff>
      <xdr:row>32</xdr:row>
      <xdr:rowOff>66675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4" name="Chart 5">
              <a:extLst>
                <a:ext uri="{FF2B5EF4-FFF2-40B4-BE49-F238E27FC236}">
                  <a16:creationId xmlns:a16="http://schemas.microsoft.com/office/drawing/2014/main" id="{CCD3E3B9-581C-4131-A165-194935234A26}"/>
                </a:ext>
                <a:ext uri="{147F2762-F138-4A5C-976F-8EAC2B608ADB}">
                  <a16:predDERef xmlns:a16="http://schemas.microsoft.com/office/drawing/2014/main" pred="{0E0650FC-907D-4D59-BB5A-474021A2BF5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48300" y="2552700"/>
              <a:ext cx="6438900" cy="2797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219075</xdr:colOff>
      <xdr:row>28</xdr:row>
      <xdr:rowOff>152400</xdr:rowOff>
    </xdr:from>
    <xdr:to>
      <xdr:col>19</xdr:col>
      <xdr:colOff>523875</xdr:colOff>
      <xdr:row>45</xdr:row>
      <xdr:rowOff>142875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6" name="Chart 6">
              <a:extLst>
                <a:ext uri="{FF2B5EF4-FFF2-40B4-BE49-F238E27FC236}">
                  <a16:creationId xmlns:a16="http://schemas.microsoft.com/office/drawing/2014/main" id="{9C12EF1E-26CD-48AB-8B75-15AE67566953}"/>
                </a:ext>
                <a:ext uri="{147F2762-F138-4A5C-976F-8EAC2B608ADB}">
                  <a16:predDERef xmlns:a16="http://schemas.microsoft.com/office/drawing/2014/main" pred="{CCD3E3B9-581C-4131-A165-194935234A2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449175" y="4775200"/>
              <a:ext cx="6438900" cy="2797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190500</xdr:colOff>
      <xdr:row>38</xdr:row>
      <xdr:rowOff>47625</xdr:rowOff>
    </xdr:from>
    <xdr:to>
      <xdr:col>11</xdr:col>
      <xdr:colOff>495300</xdr:colOff>
      <xdr:row>55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3" name="Chart 4">
              <a:extLst>
                <a:ext uri="{FF2B5EF4-FFF2-40B4-BE49-F238E27FC236}">
                  <a16:creationId xmlns:a16="http://schemas.microsoft.com/office/drawing/2014/main" id="{71881C0B-FEF7-47B7-363F-53A4E195BC2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10200" y="6321425"/>
              <a:ext cx="6438900" cy="2797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228600</xdr:colOff>
      <xdr:row>15</xdr:row>
      <xdr:rowOff>76200</xdr:rowOff>
    </xdr:from>
    <xdr:to>
      <xdr:col>11</xdr:col>
      <xdr:colOff>533400</xdr:colOff>
      <xdr:row>32</xdr:row>
      <xdr:rowOff>66675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2" name="Chart 5">
              <a:extLst>
                <a:ext uri="{FF2B5EF4-FFF2-40B4-BE49-F238E27FC236}">
                  <a16:creationId xmlns:a16="http://schemas.microsoft.com/office/drawing/2014/main" id="{8103D1E2-4B49-9C0B-F65C-33F49944100D}"/>
                </a:ext>
                <a:ext uri="{147F2762-F138-4A5C-976F-8EAC2B608ADB}">
                  <a16:predDERef xmlns:a16="http://schemas.microsoft.com/office/drawing/2014/main" pred="{71881C0B-FEF7-47B7-363F-53A4E195BC2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48300" y="2552700"/>
              <a:ext cx="6438900" cy="2797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219075</xdr:colOff>
      <xdr:row>28</xdr:row>
      <xdr:rowOff>152400</xdr:rowOff>
    </xdr:from>
    <xdr:to>
      <xdr:col>19</xdr:col>
      <xdr:colOff>523875</xdr:colOff>
      <xdr:row>45</xdr:row>
      <xdr:rowOff>142875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1" name="Chart 6">
              <a:extLst>
                <a:ext uri="{FF2B5EF4-FFF2-40B4-BE49-F238E27FC236}">
                  <a16:creationId xmlns:a16="http://schemas.microsoft.com/office/drawing/2014/main" id="{58B397B1-AFD1-4FA7-957D-3C6286FA45EA}"/>
                </a:ext>
                <a:ext uri="{147F2762-F138-4A5C-976F-8EAC2B608ADB}">
                  <a16:predDERef xmlns:a16="http://schemas.microsoft.com/office/drawing/2014/main" pred="{8103D1E2-4B49-9C0B-F65C-33F49944100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449175" y="4775200"/>
              <a:ext cx="6438900" cy="2797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374650</xdr:colOff>
      <xdr:row>2</xdr:row>
      <xdr:rowOff>88900</xdr:rowOff>
    </xdr:from>
    <xdr:to>
      <xdr:col>12</xdr:col>
      <xdr:colOff>431800</xdr:colOff>
      <xdr:row>26</xdr:row>
      <xdr:rowOff>88900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1">
              <a:extLst>
                <a:ext uri="{FF2B5EF4-FFF2-40B4-BE49-F238E27FC236}">
                  <a16:creationId xmlns:a16="http://schemas.microsoft.com/office/drawing/2014/main" id="{7F711505-5CDD-A82A-EEF8-DD63030303A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13450" y="419100"/>
              <a:ext cx="5314950" cy="3962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412750</xdr:colOff>
      <xdr:row>27</xdr:row>
      <xdr:rowOff>101600</xdr:rowOff>
    </xdr:from>
    <xdr:to>
      <xdr:col>12</xdr:col>
      <xdr:colOff>584200</xdr:colOff>
      <xdr:row>46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2">
              <a:extLst>
                <a:ext uri="{FF2B5EF4-FFF2-40B4-BE49-F238E27FC236}">
                  <a16:creationId xmlns:a16="http://schemas.microsoft.com/office/drawing/2014/main" id="{2431785D-CEDB-F1D5-B2F1-6C3245E4E2CF}"/>
                </a:ext>
                <a:ext uri="{147F2762-F138-4A5C-976F-8EAC2B608ADB}">
                  <a16:predDERef xmlns:a16="http://schemas.microsoft.com/office/drawing/2014/main" pred="{7F711505-5CDD-A82A-EEF8-DD63030303A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51550" y="4559300"/>
              <a:ext cx="5429250" cy="3149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806450</xdr:colOff>
      <xdr:row>13</xdr:row>
      <xdr:rowOff>12700</xdr:rowOff>
    </xdr:from>
    <xdr:to>
      <xdr:col>18</xdr:col>
      <xdr:colOff>647700</xdr:colOff>
      <xdr:row>32</xdr:row>
      <xdr:rowOff>25400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3">
              <a:extLst>
                <a:ext uri="{FF2B5EF4-FFF2-40B4-BE49-F238E27FC236}">
                  <a16:creationId xmlns:a16="http://schemas.microsoft.com/office/drawing/2014/main" id="{7BEC0EA2-C133-C416-6A0B-E41299AD633D}"/>
                </a:ext>
                <a:ext uri="{147F2762-F138-4A5C-976F-8EAC2B608ADB}">
                  <a16:predDERef xmlns:a16="http://schemas.microsoft.com/office/drawing/2014/main" pred="{2431785D-CEDB-F1D5-B2F1-6C3245E4E2C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03050" y="2159000"/>
              <a:ext cx="5099050" cy="3149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641350</xdr:colOff>
      <xdr:row>1</xdr:row>
      <xdr:rowOff>127000</xdr:rowOff>
    </xdr:from>
    <xdr:to>
      <xdr:col>11</xdr:col>
      <xdr:colOff>260350</xdr:colOff>
      <xdr:row>18</xdr:row>
      <xdr:rowOff>63500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1">
              <a:extLst>
                <a:ext uri="{FF2B5EF4-FFF2-40B4-BE49-F238E27FC236}">
                  <a16:creationId xmlns:a16="http://schemas.microsoft.com/office/drawing/2014/main" id="{BFCDCD0B-4940-3A3A-9498-7FE1BF227D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22850" y="292100"/>
              <a:ext cx="48768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469900</xdr:colOff>
      <xdr:row>19</xdr:row>
      <xdr:rowOff>101600</xdr:rowOff>
    </xdr:from>
    <xdr:to>
      <xdr:col>11</xdr:col>
      <xdr:colOff>88900</xdr:colOff>
      <xdr:row>36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2">
              <a:extLst>
                <a:ext uri="{FF2B5EF4-FFF2-40B4-BE49-F238E27FC236}">
                  <a16:creationId xmlns:a16="http://schemas.microsoft.com/office/drawing/2014/main" id="{BAB77278-27E1-5472-A813-7E92E357AA6A}"/>
                </a:ext>
                <a:ext uri="{147F2762-F138-4A5C-976F-8EAC2B608ADB}">
                  <a16:predDERef xmlns:a16="http://schemas.microsoft.com/office/drawing/2014/main" pred="{BFCDCD0B-4940-3A3A-9498-7FE1BF227D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51400" y="3238500"/>
              <a:ext cx="48768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431800</xdr:colOff>
      <xdr:row>38</xdr:row>
      <xdr:rowOff>25400</xdr:rowOff>
    </xdr:from>
    <xdr:to>
      <xdr:col>11</xdr:col>
      <xdr:colOff>50800</xdr:colOff>
      <xdr:row>54</xdr:row>
      <xdr:rowOff>127000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3">
              <a:extLst>
                <a:ext uri="{FF2B5EF4-FFF2-40B4-BE49-F238E27FC236}">
                  <a16:creationId xmlns:a16="http://schemas.microsoft.com/office/drawing/2014/main" id="{A1806446-BDF7-17E2-F921-1718DBFE8759}"/>
                </a:ext>
                <a:ext uri="{147F2762-F138-4A5C-976F-8EAC2B608ADB}">
                  <a16:predDERef xmlns:a16="http://schemas.microsoft.com/office/drawing/2014/main" pred="{BAB77278-27E1-5472-A813-7E92E357AA6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13300" y="6299200"/>
              <a:ext cx="48768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520700</xdr:colOff>
      <xdr:row>7</xdr:row>
      <xdr:rowOff>63500</xdr:rowOff>
    </xdr:from>
    <xdr:to>
      <xdr:col>11</xdr:col>
      <xdr:colOff>139700</xdr:colOff>
      <xdr:row>24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1">
              <a:extLst>
                <a:ext uri="{FF2B5EF4-FFF2-40B4-BE49-F238E27FC236}">
                  <a16:creationId xmlns:a16="http://schemas.microsoft.com/office/drawing/2014/main" id="{DE9B8920-D4D1-ED6D-D5DD-87512A15717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53000" y="1219200"/>
              <a:ext cx="48768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381000</xdr:colOff>
      <xdr:row>25</xdr:row>
      <xdr:rowOff>25400</xdr:rowOff>
    </xdr:from>
    <xdr:to>
      <xdr:col>11</xdr:col>
      <xdr:colOff>0</xdr:colOff>
      <xdr:row>41</xdr:row>
      <xdr:rowOff>127000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2">
              <a:extLst>
                <a:ext uri="{FF2B5EF4-FFF2-40B4-BE49-F238E27FC236}">
                  <a16:creationId xmlns:a16="http://schemas.microsoft.com/office/drawing/2014/main" id="{2F497334-3879-9265-CE88-E5D4134F1E0F}"/>
                </a:ext>
                <a:ext uri="{147F2762-F138-4A5C-976F-8EAC2B608ADB}">
                  <a16:predDERef xmlns:a16="http://schemas.microsoft.com/office/drawing/2014/main" pred="{DE9B8920-D4D1-ED6D-D5DD-87512A15717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13300" y="4152900"/>
              <a:ext cx="48768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368300</xdr:colOff>
      <xdr:row>8</xdr:row>
      <xdr:rowOff>76200</xdr:rowOff>
    </xdr:from>
    <xdr:to>
      <xdr:col>16</xdr:col>
      <xdr:colOff>812800</xdr:colOff>
      <xdr:row>25</xdr:row>
      <xdr:rowOff>12700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3">
              <a:extLst>
                <a:ext uri="{FF2B5EF4-FFF2-40B4-BE49-F238E27FC236}">
                  <a16:creationId xmlns:a16="http://schemas.microsoft.com/office/drawing/2014/main" id="{2BAE03CD-7271-51D0-45B1-504104507D38}"/>
                </a:ext>
                <a:ext uri="{147F2762-F138-4A5C-976F-8EAC2B608ADB}">
                  <a16:predDERef xmlns:a16="http://schemas.microsoft.com/office/drawing/2014/main" pred="{2F497334-3879-9265-CE88-E5D4134F1E0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58400" y="1397000"/>
              <a:ext cx="4826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146050</xdr:colOff>
      <xdr:row>2</xdr:row>
      <xdr:rowOff>76200</xdr:rowOff>
    </xdr:from>
    <xdr:to>
      <xdr:col>11</xdr:col>
      <xdr:colOff>590550</xdr:colOff>
      <xdr:row>19</xdr:row>
      <xdr:rowOff>12700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1">
              <a:extLst>
                <a:ext uri="{FF2B5EF4-FFF2-40B4-BE49-F238E27FC236}">
                  <a16:creationId xmlns:a16="http://schemas.microsoft.com/office/drawing/2014/main" id="{1DEAF1B3-521A-ABDA-681A-1DE7B441E6C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57850" y="406400"/>
              <a:ext cx="4826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25400</xdr:colOff>
      <xdr:row>20</xdr:row>
      <xdr:rowOff>127000</xdr:rowOff>
    </xdr:from>
    <xdr:to>
      <xdr:col>12</xdr:col>
      <xdr:colOff>177800</xdr:colOff>
      <xdr:row>38</xdr:row>
      <xdr:rowOff>101600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2">
              <a:extLst>
                <a:ext uri="{FF2B5EF4-FFF2-40B4-BE49-F238E27FC236}">
                  <a16:creationId xmlns:a16="http://schemas.microsoft.com/office/drawing/2014/main" id="{DE50BE88-2F7F-F7A5-F723-7E073D098BF8}"/>
                </a:ext>
                <a:ext uri="{147F2762-F138-4A5C-976F-8EAC2B608ADB}">
                  <a16:predDERef xmlns:a16="http://schemas.microsoft.com/office/drawing/2014/main" pred="{1DEAF1B3-521A-ABDA-681A-1DE7B441E6C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37200" y="3429000"/>
              <a:ext cx="5410200" cy="2946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508000</xdr:colOff>
      <xdr:row>9</xdr:row>
      <xdr:rowOff>0</xdr:rowOff>
    </xdr:from>
    <xdr:to>
      <xdr:col>18</xdr:col>
      <xdr:colOff>127000</xdr:colOff>
      <xdr:row>29</xdr:row>
      <xdr:rowOff>25400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3">
              <a:extLst>
                <a:ext uri="{FF2B5EF4-FFF2-40B4-BE49-F238E27FC236}">
                  <a16:creationId xmlns:a16="http://schemas.microsoft.com/office/drawing/2014/main" id="{75C7D22A-EC3A-36AE-E524-2AFC31DA043C}"/>
                </a:ext>
                <a:ext uri="{147F2762-F138-4A5C-976F-8EAC2B608ADB}">
                  <a16:predDERef xmlns:a16="http://schemas.microsoft.com/office/drawing/2014/main" pred="{DE50BE88-2F7F-F7A5-F723-7E073D098BF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77600" y="1485900"/>
              <a:ext cx="4876800" cy="3327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6"/>
  <sheetViews>
    <sheetView workbookViewId="0"/>
  </sheetViews>
  <sheetFormatPr baseColWidth="10" defaultColWidth="12.6640625" defaultRowHeight="15.75" customHeight="1" x14ac:dyDescent="0.15"/>
  <cols>
    <col min="1" max="2" width="13.1640625" customWidth="1"/>
    <col min="3" max="3" width="20.6640625" customWidth="1"/>
  </cols>
  <sheetData>
    <row r="1" spans="1:3" ht="14" x14ac:dyDescent="0.2">
      <c r="A1" s="1" t="s">
        <v>0</v>
      </c>
      <c r="B1" s="1" t="s">
        <v>1</v>
      </c>
      <c r="C1" s="1" t="s">
        <v>2</v>
      </c>
    </row>
    <row r="2" spans="1:3" ht="15.75" customHeight="1" x14ac:dyDescent="0.15">
      <c r="A2" s="2">
        <v>103.84632499999999</v>
      </c>
      <c r="B2" s="2">
        <v>1.222877</v>
      </c>
      <c r="C2" s="2" t="s">
        <v>3</v>
      </c>
    </row>
    <row r="3" spans="1:3" ht="15.75" customHeight="1" x14ac:dyDescent="0.15">
      <c r="A3" s="2">
        <v>103.84636999999999</v>
      </c>
      <c r="B3" s="2">
        <v>1.2229300000000001</v>
      </c>
      <c r="C3" s="2" t="s">
        <v>4</v>
      </c>
    </row>
    <row r="4" spans="1:3" ht="15.75" customHeight="1" x14ac:dyDescent="0.15">
      <c r="A4" s="2">
        <v>103.846434</v>
      </c>
      <c r="B4" s="2">
        <v>1.2230369999999999</v>
      </c>
      <c r="C4" s="2" t="s">
        <v>5</v>
      </c>
    </row>
    <row r="5" spans="1:3" ht="15" customHeight="1" x14ac:dyDescent="0.15">
      <c r="A5" s="3">
        <v>103.8464067</v>
      </c>
      <c r="B5" s="3">
        <v>1.222782574</v>
      </c>
      <c r="C5" s="2" t="s">
        <v>6</v>
      </c>
    </row>
    <row r="6" spans="1:3" ht="15" customHeight="1" x14ac:dyDescent="0.15">
      <c r="A6" s="3">
        <v>103.846463</v>
      </c>
      <c r="B6" s="3">
        <v>1.222852966</v>
      </c>
      <c r="C6" s="2" t="s">
        <v>7</v>
      </c>
    </row>
    <row r="7" spans="1:3" ht="15" customHeight="1" x14ac:dyDescent="0.15">
      <c r="A7" s="3">
        <v>103.8465113</v>
      </c>
      <c r="B7" s="3">
        <v>1.2229253689999999</v>
      </c>
      <c r="C7" s="2" t="s">
        <v>8</v>
      </c>
    </row>
    <row r="8" spans="1:3" ht="14" x14ac:dyDescent="0.2">
      <c r="A8" s="4">
        <v>103.846648</v>
      </c>
      <c r="B8" s="4">
        <v>1.222683</v>
      </c>
      <c r="C8" s="1" t="s">
        <v>9</v>
      </c>
    </row>
    <row r="9" spans="1:3" ht="15.75" customHeight="1" x14ac:dyDescent="0.2">
      <c r="A9" s="4">
        <v>103.846688</v>
      </c>
      <c r="B9" s="4">
        <v>1.222747</v>
      </c>
      <c r="C9" s="1" t="s">
        <v>10</v>
      </c>
    </row>
    <row r="10" spans="1:3" ht="15.75" customHeight="1" x14ac:dyDescent="0.2">
      <c r="A10" s="2">
        <v>103.846752</v>
      </c>
      <c r="B10" s="4">
        <v>1.222845</v>
      </c>
      <c r="C10" s="1" t="s">
        <v>11</v>
      </c>
    </row>
    <row r="11" spans="1:3" ht="14" x14ac:dyDescent="0.2">
      <c r="A11" s="1">
        <v>103.846888888888</v>
      </c>
      <c r="B11" s="1">
        <v>1.2225832999999999</v>
      </c>
      <c r="C11" s="1" t="s">
        <v>12</v>
      </c>
    </row>
    <row r="12" spans="1:3" ht="14" x14ac:dyDescent="0.2">
      <c r="A12" s="1">
        <v>103.84694444444401</v>
      </c>
      <c r="B12" s="1">
        <v>1.22275</v>
      </c>
      <c r="C12" s="1" t="s">
        <v>13</v>
      </c>
    </row>
    <row r="13" spans="1:3" ht="14" x14ac:dyDescent="0.2">
      <c r="A13" s="1">
        <v>103.846916666666</v>
      </c>
      <c r="B13" s="1">
        <v>1.2226667</v>
      </c>
      <c r="C13" s="1" t="s">
        <v>14</v>
      </c>
    </row>
    <row r="14" spans="1:3" ht="15.75" customHeight="1" x14ac:dyDescent="0.15">
      <c r="A14" s="4">
        <v>103.847014</v>
      </c>
      <c r="B14" s="4">
        <v>1.2224729999999999</v>
      </c>
      <c r="C14" s="2" t="s">
        <v>15</v>
      </c>
    </row>
    <row r="15" spans="1:3" ht="15.75" customHeight="1" x14ac:dyDescent="0.15">
      <c r="A15" s="4">
        <v>103.84706300000001</v>
      </c>
      <c r="B15" s="2">
        <v>1.22255</v>
      </c>
      <c r="C15" s="2" t="s">
        <v>16</v>
      </c>
    </row>
    <row r="16" spans="1:3" ht="15.75" customHeight="1" x14ac:dyDescent="0.15">
      <c r="A16" s="4">
        <v>103.8471055</v>
      </c>
      <c r="B16" s="4">
        <v>1.2226592000000001</v>
      </c>
      <c r="C16" s="2" t="s">
        <v>17</v>
      </c>
    </row>
    <row r="17" spans="1:21" ht="14" x14ac:dyDescent="0.2">
      <c r="A17" s="4">
        <v>103.84710440000001</v>
      </c>
      <c r="B17" s="1">
        <v>1.2224035</v>
      </c>
      <c r="C17" s="2" t="s">
        <v>18</v>
      </c>
    </row>
    <row r="18" spans="1:21" ht="15.75" customHeight="1" x14ac:dyDescent="0.15">
      <c r="A18" s="4">
        <v>103.84715129999999</v>
      </c>
      <c r="B18" s="2">
        <v>1.2224899</v>
      </c>
      <c r="C18" s="2" t="s">
        <v>19</v>
      </c>
    </row>
    <row r="19" spans="1:21" ht="15.75" customHeight="1" x14ac:dyDescent="0.2">
      <c r="A19" s="4">
        <v>103.847205</v>
      </c>
      <c r="B19" s="1">
        <v>1.2225817999999999</v>
      </c>
      <c r="C19" s="2" t="s">
        <v>20</v>
      </c>
    </row>
    <row r="20" spans="1:21" ht="15.75" customHeight="1" x14ac:dyDescent="0.15">
      <c r="A20" s="3">
        <v>103.847194444444</v>
      </c>
      <c r="B20" s="4">
        <v>1.2223333000000001</v>
      </c>
      <c r="C20" s="3" t="s">
        <v>21</v>
      </c>
    </row>
    <row r="21" spans="1:21" ht="15.75" customHeight="1" x14ac:dyDescent="0.2">
      <c r="A21" s="1">
        <v>103.847285</v>
      </c>
      <c r="B21" s="1">
        <v>1.2224029999999999</v>
      </c>
      <c r="C21" s="3" t="s">
        <v>22</v>
      </c>
    </row>
    <row r="22" spans="1:21" ht="15.75" customHeight="1" x14ac:dyDescent="0.2">
      <c r="A22" s="1">
        <v>103.847301</v>
      </c>
      <c r="B22" s="1">
        <v>1.2225090000000001</v>
      </c>
      <c r="C22" s="3" t="s">
        <v>23</v>
      </c>
    </row>
    <row r="23" spans="1:21" ht="14" x14ac:dyDescent="0.2">
      <c r="A23" s="5">
        <v>103.847561</v>
      </c>
      <c r="B23" s="5">
        <v>1.2222249999999999</v>
      </c>
      <c r="C23" s="3" t="s">
        <v>24</v>
      </c>
      <c r="D23" s="6"/>
      <c r="E23" s="6"/>
      <c r="F23" s="6"/>
      <c r="G23" s="6"/>
      <c r="H23" s="6"/>
      <c r="I23" s="6"/>
      <c r="J23" s="6"/>
      <c r="K23" s="6"/>
      <c r="L23" s="6" t="s">
        <v>25</v>
      </c>
      <c r="M23" s="6"/>
      <c r="N23" s="6"/>
      <c r="O23" s="6"/>
      <c r="P23" s="6"/>
      <c r="Q23" s="6"/>
      <c r="R23" s="6"/>
      <c r="S23" s="6"/>
      <c r="T23" s="6"/>
      <c r="U23" s="6"/>
    </row>
    <row r="24" spans="1:21" ht="15.75" customHeight="1" x14ac:dyDescent="0.15">
      <c r="A24" s="3">
        <v>103.847638888888</v>
      </c>
      <c r="B24" s="3">
        <v>1.2223056000000001</v>
      </c>
      <c r="C24" s="3" t="s">
        <v>26</v>
      </c>
    </row>
    <row r="25" spans="1:21" ht="15.75" customHeight="1" x14ac:dyDescent="0.15">
      <c r="A25" s="3">
        <v>103.847638888888</v>
      </c>
      <c r="B25" s="3">
        <v>1.2223888999999999</v>
      </c>
      <c r="C25" s="3" t="s">
        <v>27</v>
      </c>
    </row>
    <row r="26" spans="1:21" ht="14" x14ac:dyDescent="0.2">
      <c r="A26" s="2">
        <v>103.84773199999999</v>
      </c>
      <c r="B26" s="1">
        <v>1.2221390000000001</v>
      </c>
      <c r="C26" s="1" t="s">
        <v>28</v>
      </c>
    </row>
    <row r="27" spans="1:21" ht="14" x14ac:dyDescent="0.2">
      <c r="A27" s="3">
        <v>103.84777200000001</v>
      </c>
      <c r="B27" s="3">
        <v>1.222235</v>
      </c>
      <c r="C27" s="1" t="s">
        <v>29</v>
      </c>
    </row>
    <row r="28" spans="1:21" ht="15" customHeight="1" x14ac:dyDescent="0.15">
      <c r="A28" s="3">
        <v>103.84781700000001</v>
      </c>
      <c r="B28" s="3">
        <v>1.222318</v>
      </c>
      <c r="C28" s="2" t="s">
        <v>30</v>
      </c>
    </row>
    <row r="29" spans="1:21" ht="14" x14ac:dyDescent="0.2">
      <c r="A29" s="1">
        <v>103.8479091</v>
      </c>
      <c r="B29" s="1">
        <v>1.2221044000000001</v>
      </c>
      <c r="C29" s="1" t="s">
        <v>31</v>
      </c>
    </row>
    <row r="30" spans="1:21" ht="14" x14ac:dyDescent="0.2">
      <c r="A30" s="4">
        <v>103.8479426</v>
      </c>
      <c r="B30" s="1">
        <v>1.2221995999999999</v>
      </c>
      <c r="C30" s="1" t="s">
        <v>32</v>
      </c>
    </row>
    <row r="31" spans="1:21" ht="14" x14ac:dyDescent="0.2">
      <c r="A31" s="4">
        <v>103.84797090000001</v>
      </c>
      <c r="B31" s="1">
        <v>1.2222872</v>
      </c>
      <c r="C31" s="1" t="s">
        <v>33</v>
      </c>
    </row>
    <row r="32" spans="1:21" ht="15.75" customHeight="1" x14ac:dyDescent="0.2">
      <c r="A32" s="7"/>
      <c r="B32" s="7"/>
      <c r="C32" s="7"/>
    </row>
    <row r="34" spans="1:3" ht="15.75" customHeight="1" x14ac:dyDescent="0.2">
      <c r="A34" s="7"/>
      <c r="B34" s="7"/>
      <c r="C34" s="7"/>
    </row>
    <row r="35" spans="1:3" ht="15.75" customHeight="1" x14ac:dyDescent="0.2">
      <c r="A35" s="7"/>
      <c r="B35" s="7"/>
      <c r="C35" s="7"/>
    </row>
    <row r="36" spans="1:3" ht="15.75" customHeight="1" x14ac:dyDescent="0.2">
      <c r="A36" s="7"/>
      <c r="B36" s="7"/>
      <c r="C36" s="7"/>
    </row>
    <row r="37" spans="1:3" ht="15.75" customHeight="1" x14ac:dyDescent="0.2">
      <c r="A37" s="7"/>
      <c r="B37" s="7"/>
      <c r="C37" s="7"/>
    </row>
    <row r="38" spans="1:3" ht="15.75" customHeight="1" x14ac:dyDescent="0.2">
      <c r="A38" s="7"/>
      <c r="B38" s="7"/>
      <c r="C38" s="7"/>
    </row>
    <row r="39" spans="1:3" ht="15.75" customHeight="1" x14ac:dyDescent="0.2">
      <c r="A39" s="7"/>
      <c r="B39" s="7"/>
      <c r="C39" s="7"/>
    </row>
    <row r="40" spans="1:3" ht="15.75" customHeight="1" x14ac:dyDescent="0.2">
      <c r="A40" s="7"/>
      <c r="B40" s="7"/>
      <c r="C40" s="7"/>
    </row>
    <row r="41" spans="1:3" ht="15.75" customHeight="1" x14ac:dyDescent="0.2">
      <c r="A41" s="7"/>
      <c r="B41" s="7"/>
      <c r="C41" s="7"/>
    </row>
    <row r="42" spans="1:3" ht="15.75" customHeight="1" x14ac:dyDescent="0.2">
      <c r="A42" s="7"/>
      <c r="B42" s="7"/>
      <c r="C42" s="7"/>
    </row>
    <row r="43" spans="1:3" ht="15.75" customHeight="1" x14ac:dyDescent="0.2">
      <c r="A43" s="7"/>
      <c r="B43" s="7"/>
      <c r="C43" s="7"/>
    </row>
    <row r="44" spans="1:3" ht="15.75" customHeight="1" x14ac:dyDescent="0.2">
      <c r="A44" s="7"/>
      <c r="B44" s="7"/>
      <c r="C44" s="7"/>
    </row>
    <row r="45" spans="1:3" ht="15.75" customHeight="1" x14ac:dyDescent="0.2">
      <c r="A45" s="7"/>
      <c r="B45" s="7"/>
      <c r="C45" s="7"/>
    </row>
    <row r="46" spans="1:3" ht="15.75" customHeight="1" x14ac:dyDescent="0.2">
      <c r="A46" s="7"/>
      <c r="B46" s="7"/>
      <c r="C46" s="7"/>
    </row>
    <row r="47" spans="1:3" ht="15.75" customHeight="1" x14ac:dyDescent="0.2">
      <c r="A47" s="7"/>
      <c r="B47" s="7"/>
      <c r="C47" s="7"/>
    </row>
    <row r="48" spans="1:3" ht="15.75" customHeight="1" x14ac:dyDescent="0.2">
      <c r="A48" s="7"/>
      <c r="B48" s="7"/>
      <c r="C48" s="7"/>
    </row>
    <row r="49" spans="1:3" ht="15.75" customHeight="1" x14ac:dyDescent="0.2">
      <c r="A49" s="7"/>
      <c r="B49" s="7"/>
      <c r="C49" s="7"/>
    </row>
    <row r="50" spans="1:3" ht="15.75" customHeight="1" x14ac:dyDescent="0.2">
      <c r="A50" s="7"/>
      <c r="B50" s="7"/>
      <c r="C50" s="7"/>
    </row>
    <row r="51" spans="1:3" ht="15.75" customHeight="1" x14ac:dyDescent="0.2">
      <c r="A51" s="7"/>
      <c r="B51" s="7"/>
      <c r="C51" s="7"/>
    </row>
    <row r="52" spans="1:3" ht="15.75" customHeight="1" x14ac:dyDescent="0.2">
      <c r="A52" s="7"/>
      <c r="B52" s="7"/>
      <c r="C52" s="7"/>
    </row>
    <row r="53" spans="1:3" ht="15.75" customHeight="1" x14ac:dyDescent="0.2">
      <c r="A53" s="7"/>
      <c r="B53" s="7"/>
      <c r="C53" s="7"/>
    </row>
    <row r="54" spans="1:3" ht="15.75" customHeight="1" x14ac:dyDescent="0.2">
      <c r="A54" s="7"/>
      <c r="B54" s="7"/>
      <c r="C54" s="7"/>
    </row>
    <row r="55" spans="1:3" ht="15.75" customHeight="1" x14ac:dyDescent="0.2">
      <c r="A55" s="7"/>
      <c r="B55" s="7"/>
      <c r="C55" s="7"/>
    </row>
    <row r="56" spans="1:3" ht="15.75" customHeight="1" x14ac:dyDescent="0.2">
      <c r="A56" s="7"/>
      <c r="B56" s="7"/>
      <c r="C56" s="7"/>
    </row>
    <row r="57" spans="1:3" ht="15.75" customHeight="1" x14ac:dyDescent="0.2">
      <c r="A57" s="7"/>
      <c r="B57" s="7"/>
      <c r="C57" s="7"/>
    </row>
    <row r="58" spans="1:3" ht="15.75" customHeight="1" x14ac:dyDescent="0.2">
      <c r="A58" s="7"/>
      <c r="B58" s="7"/>
      <c r="C58" s="7"/>
    </row>
    <row r="59" spans="1:3" ht="15.75" customHeight="1" x14ac:dyDescent="0.2">
      <c r="A59" s="7"/>
      <c r="B59" s="7"/>
      <c r="C59" s="7"/>
    </row>
    <row r="60" spans="1:3" ht="15.75" customHeight="1" x14ac:dyDescent="0.2">
      <c r="A60" s="7"/>
      <c r="B60" s="7"/>
      <c r="C60" s="7"/>
    </row>
    <row r="61" spans="1:3" ht="15.75" customHeight="1" x14ac:dyDescent="0.2">
      <c r="A61" s="7"/>
      <c r="B61" s="7"/>
      <c r="C61" s="7"/>
    </row>
    <row r="62" spans="1:3" ht="15.75" customHeight="1" x14ac:dyDescent="0.2">
      <c r="A62" s="7"/>
      <c r="B62" s="7"/>
      <c r="C62" s="7"/>
    </row>
    <row r="63" spans="1:3" ht="15.75" customHeight="1" x14ac:dyDescent="0.2">
      <c r="A63" s="7"/>
      <c r="B63" s="7"/>
      <c r="C63" s="7"/>
    </row>
    <row r="64" spans="1:3" ht="15.75" customHeight="1" x14ac:dyDescent="0.2">
      <c r="A64" s="7"/>
      <c r="B64" s="7"/>
      <c r="C64" s="7"/>
    </row>
    <row r="65" spans="1:3" ht="15.75" customHeight="1" x14ac:dyDescent="0.2">
      <c r="A65" s="7"/>
      <c r="B65" s="7"/>
      <c r="C65" s="7"/>
    </row>
    <row r="66" spans="1:3" ht="15.75" customHeight="1" x14ac:dyDescent="0.2">
      <c r="A66" s="7"/>
      <c r="B66" s="7"/>
      <c r="C66" s="7"/>
    </row>
    <row r="67" spans="1:3" ht="15.75" customHeight="1" x14ac:dyDescent="0.2">
      <c r="A67" s="7"/>
      <c r="B67" s="7"/>
      <c r="C67" s="7"/>
    </row>
    <row r="68" spans="1:3" ht="15.75" customHeight="1" x14ac:dyDescent="0.2">
      <c r="A68" s="7"/>
      <c r="B68" s="7"/>
      <c r="C68" s="7"/>
    </row>
    <row r="69" spans="1:3" ht="15.75" customHeight="1" x14ac:dyDescent="0.2">
      <c r="A69" s="7"/>
      <c r="B69" s="7"/>
      <c r="C69" s="7"/>
    </row>
    <row r="70" spans="1:3" ht="15.75" customHeight="1" x14ac:dyDescent="0.2">
      <c r="A70" s="7"/>
      <c r="B70" s="7"/>
      <c r="C70" s="7"/>
    </row>
    <row r="71" spans="1:3" ht="15.75" customHeight="1" x14ac:dyDescent="0.2">
      <c r="A71" s="7"/>
      <c r="B71" s="7"/>
      <c r="C71" s="7"/>
    </row>
    <row r="72" spans="1:3" ht="15.75" customHeight="1" x14ac:dyDescent="0.2">
      <c r="A72" s="7"/>
      <c r="B72" s="7"/>
      <c r="C72" s="7"/>
    </row>
    <row r="73" spans="1:3" ht="15.75" customHeight="1" x14ac:dyDescent="0.2">
      <c r="A73" s="7"/>
      <c r="B73" s="7"/>
      <c r="C73" s="7"/>
    </row>
    <row r="74" spans="1:3" ht="15.75" customHeight="1" x14ac:dyDescent="0.2">
      <c r="A74" s="7"/>
      <c r="B74" s="7"/>
      <c r="C74" s="7"/>
    </row>
    <row r="75" spans="1:3" ht="15.75" customHeight="1" x14ac:dyDescent="0.2">
      <c r="A75" s="7"/>
      <c r="B75" s="7"/>
      <c r="C75" s="7"/>
    </row>
    <row r="76" spans="1:3" ht="15.75" customHeight="1" x14ac:dyDescent="0.2">
      <c r="A76" s="7"/>
      <c r="B76" s="7"/>
      <c r="C76" s="7"/>
    </row>
    <row r="77" spans="1:3" ht="15.75" customHeight="1" x14ac:dyDescent="0.2">
      <c r="A77" s="7"/>
      <c r="B77" s="7"/>
      <c r="C77" s="7"/>
    </row>
    <row r="78" spans="1:3" ht="15.75" customHeight="1" x14ac:dyDescent="0.2">
      <c r="A78" s="7"/>
      <c r="B78" s="7"/>
      <c r="C78" s="7"/>
    </row>
    <row r="79" spans="1:3" ht="15.75" customHeight="1" x14ac:dyDescent="0.2">
      <c r="A79" s="7"/>
      <c r="B79" s="7"/>
      <c r="C79" s="7"/>
    </row>
    <row r="80" spans="1:3" ht="15.75" customHeight="1" x14ac:dyDescent="0.2">
      <c r="A80" s="7"/>
      <c r="B80" s="7"/>
      <c r="C80" s="7"/>
    </row>
    <row r="81" spans="1:3" ht="15.75" customHeight="1" x14ac:dyDescent="0.2">
      <c r="A81" s="7"/>
      <c r="B81" s="7"/>
      <c r="C81" s="7"/>
    </row>
    <row r="82" spans="1:3" ht="15.75" customHeight="1" x14ac:dyDescent="0.2">
      <c r="A82" s="7"/>
      <c r="B82" s="7"/>
      <c r="C82" s="7"/>
    </row>
    <row r="83" spans="1:3" ht="15.75" customHeight="1" x14ac:dyDescent="0.2">
      <c r="A83" s="7"/>
      <c r="B83" s="7"/>
      <c r="C83" s="7"/>
    </row>
    <row r="84" spans="1:3" ht="15.75" customHeight="1" x14ac:dyDescent="0.2">
      <c r="A84" s="7"/>
      <c r="B84" s="7"/>
      <c r="C84" s="7"/>
    </row>
    <row r="85" spans="1:3" ht="15.75" customHeight="1" x14ac:dyDescent="0.2">
      <c r="A85" s="7"/>
      <c r="B85" s="7"/>
      <c r="C85" s="7"/>
    </row>
    <row r="86" spans="1:3" ht="15.75" customHeight="1" x14ac:dyDescent="0.2">
      <c r="A86" s="7"/>
      <c r="B86" s="7"/>
      <c r="C86" s="7"/>
    </row>
    <row r="89" spans="1:3" ht="15.75" customHeight="1" x14ac:dyDescent="0.2">
      <c r="A89" s="7"/>
      <c r="B89" s="7"/>
      <c r="C89" s="7"/>
    </row>
    <row r="90" spans="1:3" ht="15.75" customHeight="1" x14ac:dyDescent="0.2">
      <c r="A90" s="7"/>
      <c r="B90" s="7"/>
      <c r="C90" s="7"/>
    </row>
    <row r="91" spans="1:3" ht="15.75" customHeight="1" x14ac:dyDescent="0.2">
      <c r="A91" s="7"/>
      <c r="B91" s="7"/>
      <c r="C91" s="7"/>
    </row>
    <row r="92" spans="1:3" ht="15.75" customHeight="1" x14ac:dyDescent="0.2">
      <c r="A92" s="7"/>
      <c r="B92" s="7"/>
      <c r="C92" s="7"/>
    </row>
    <row r="93" spans="1:3" ht="15.75" customHeight="1" x14ac:dyDescent="0.2">
      <c r="A93" s="7"/>
      <c r="B93" s="7"/>
      <c r="C93" s="7"/>
    </row>
    <row r="94" spans="1:3" ht="15.75" customHeight="1" x14ac:dyDescent="0.2">
      <c r="A94" s="7"/>
      <c r="B94" s="7"/>
      <c r="C94" s="7"/>
    </row>
    <row r="95" spans="1:3" ht="15.75" customHeight="1" x14ac:dyDescent="0.2">
      <c r="A95" s="7"/>
      <c r="B95" s="7"/>
      <c r="C95" s="7"/>
    </row>
    <row r="96" spans="1:3" ht="15.75" customHeight="1" x14ac:dyDescent="0.2">
      <c r="A96" s="7"/>
      <c r="B96" s="7"/>
      <c r="C96" s="7"/>
    </row>
    <row r="97" spans="1:3" ht="15.75" customHeight="1" x14ac:dyDescent="0.2">
      <c r="A97" s="7"/>
      <c r="B97" s="7"/>
      <c r="C97" s="7"/>
    </row>
    <row r="98" spans="1:3" ht="15.75" customHeight="1" x14ac:dyDescent="0.2">
      <c r="A98" s="7"/>
      <c r="B98" s="7"/>
      <c r="C98" s="7"/>
    </row>
    <row r="99" spans="1:3" ht="15.75" customHeight="1" x14ac:dyDescent="0.2">
      <c r="A99" s="7"/>
      <c r="B99" s="7"/>
      <c r="C99" s="7"/>
    </row>
    <row r="100" spans="1:3" ht="15.75" customHeight="1" x14ac:dyDescent="0.2">
      <c r="A100" s="7"/>
      <c r="B100" s="7"/>
      <c r="C100" s="7"/>
    </row>
    <row r="101" spans="1:3" ht="15.75" customHeight="1" x14ac:dyDescent="0.2">
      <c r="A101" s="7"/>
      <c r="B101" s="7"/>
      <c r="C101" s="7"/>
    </row>
    <row r="102" spans="1:3" ht="15.75" customHeight="1" x14ac:dyDescent="0.2">
      <c r="A102" s="7"/>
      <c r="B102" s="7"/>
      <c r="C102" s="7"/>
    </row>
    <row r="103" spans="1:3" ht="15.75" customHeight="1" x14ac:dyDescent="0.2">
      <c r="A103" s="7"/>
      <c r="B103" s="7"/>
      <c r="C103" s="7"/>
    </row>
    <row r="104" spans="1:3" ht="15.75" customHeight="1" x14ac:dyDescent="0.2">
      <c r="A104" s="7"/>
      <c r="B104" s="7"/>
      <c r="C104" s="7"/>
    </row>
    <row r="105" spans="1:3" ht="15.75" customHeight="1" x14ac:dyDescent="0.2">
      <c r="A105" s="7"/>
      <c r="B105" s="7"/>
      <c r="C105" s="7"/>
    </row>
    <row r="106" spans="1:3" ht="15.75" customHeight="1" x14ac:dyDescent="0.2">
      <c r="A106" s="7"/>
      <c r="B106" s="7"/>
      <c r="C106" s="7"/>
    </row>
    <row r="107" spans="1:3" ht="15.75" customHeight="1" x14ac:dyDescent="0.2">
      <c r="A107" s="7"/>
      <c r="B107" s="7"/>
      <c r="C107" s="7"/>
    </row>
    <row r="108" spans="1:3" ht="15.75" customHeight="1" x14ac:dyDescent="0.2">
      <c r="A108" s="7"/>
      <c r="B108" s="7"/>
      <c r="C108" s="7"/>
    </row>
    <row r="109" spans="1:3" ht="15.75" customHeight="1" x14ac:dyDescent="0.2">
      <c r="A109" s="7"/>
      <c r="B109" s="7"/>
      <c r="C109" s="7"/>
    </row>
    <row r="110" spans="1:3" ht="15.75" customHeight="1" x14ac:dyDescent="0.2">
      <c r="A110" s="7"/>
      <c r="B110" s="7"/>
      <c r="C110" s="7"/>
    </row>
    <row r="111" spans="1:3" ht="15.75" customHeight="1" x14ac:dyDescent="0.2">
      <c r="A111" s="7"/>
      <c r="B111" s="7"/>
      <c r="C111" s="7"/>
    </row>
    <row r="112" spans="1:3" ht="15.75" customHeight="1" x14ac:dyDescent="0.2">
      <c r="A112" s="7"/>
      <c r="B112" s="7"/>
      <c r="C112" s="7"/>
    </row>
    <row r="113" spans="1:3" ht="15.75" customHeight="1" x14ac:dyDescent="0.2">
      <c r="A113" s="7"/>
      <c r="B113" s="7"/>
      <c r="C113" s="7"/>
    </row>
    <row r="114" spans="1:3" ht="15.75" customHeight="1" x14ac:dyDescent="0.2">
      <c r="A114" s="7"/>
      <c r="B114" s="7"/>
      <c r="C114" s="7"/>
    </row>
    <row r="115" spans="1:3" ht="15.75" customHeight="1" x14ac:dyDescent="0.2">
      <c r="A115" s="7"/>
      <c r="B115" s="7"/>
      <c r="C115" s="7"/>
    </row>
    <row r="116" spans="1:3" ht="15.75" customHeight="1" x14ac:dyDescent="0.2">
      <c r="A116" s="7"/>
      <c r="B116" s="7"/>
      <c r="C116" s="7"/>
    </row>
    <row r="117" spans="1:3" ht="15.75" customHeight="1" x14ac:dyDescent="0.2">
      <c r="A117" s="7"/>
      <c r="B117" s="7"/>
      <c r="C117" s="7"/>
    </row>
    <row r="118" spans="1:3" ht="15.75" customHeight="1" x14ac:dyDescent="0.2">
      <c r="A118" s="7"/>
      <c r="B118" s="7"/>
      <c r="C118" s="7"/>
    </row>
    <row r="119" spans="1:3" ht="15.75" customHeight="1" x14ac:dyDescent="0.2">
      <c r="A119" s="7"/>
      <c r="B119" s="7"/>
      <c r="C119" s="7"/>
    </row>
    <row r="120" spans="1:3" ht="15.75" customHeight="1" x14ac:dyDescent="0.2">
      <c r="A120" s="7"/>
      <c r="B120" s="7"/>
      <c r="C120" s="7"/>
    </row>
    <row r="121" spans="1:3" ht="15.75" customHeight="1" x14ac:dyDescent="0.2">
      <c r="A121" s="7"/>
      <c r="B121" s="7"/>
      <c r="C121" s="7"/>
    </row>
    <row r="122" spans="1:3" ht="15.75" customHeight="1" x14ac:dyDescent="0.2">
      <c r="A122" s="7"/>
      <c r="B122" s="7"/>
      <c r="C122" s="7"/>
    </row>
    <row r="123" spans="1:3" ht="15.75" customHeight="1" x14ac:dyDescent="0.2">
      <c r="A123" s="7"/>
      <c r="B123" s="7"/>
      <c r="C123" s="7"/>
    </row>
    <row r="124" spans="1:3" ht="15.75" customHeight="1" x14ac:dyDescent="0.2">
      <c r="A124" s="7"/>
      <c r="B124" s="7"/>
      <c r="C124" s="7"/>
    </row>
    <row r="125" spans="1:3" ht="15.75" customHeight="1" x14ac:dyDescent="0.2">
      <c r="A125" s="7"/>
      <c r="B125" s="7"/>
      <c r="C125" s="7"/>
    </row>
    <row r="126" spans="1:3" ht="15.75" customHeight="1" x14ac:dyDescent="0.2">
      <c r="A126" s="7"/>
      <c r="B126" s="7"/>
      <c r="C126" s="7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6C85B-28AC-D542-8A12-EB32F5B0A45F}">
  <dimension ref="A1:Q166"/>
  <sheetViews>
    <sheetView workbookViewId="0">
      <pane ySplit="1" topLeftCell="A2" activePane="bottomLeft" state="frozen"/>
      <selection pane="bottomLeft" activeCell="A43" sqref="A43"/>
    </sheetView>
  </sheetViews>
  <sheetFormatPr baseColWidth="10" defaultColWidth="11.5" defaultRowHeight="12.75" customHeight="1" x14ac:dyDescent="0.15"/>
  <cols>
    <col min="1" max="1" width="43.6640625" customWidth="1"/>
    <col min="2" max="2" width="7.83203125" customWidth="1"/>
    <col min="3" max="3" width="8.5" customWidth="1"/>
    <col min="5" max="6" width="10.83203125" style="10"/>
    <col min="8" max="8" width="16.83203125" customWidth="1"/>
    <col min="9" max="9" width="15.6640625" customWidth="1"/>
    <col min="10" max="10" width="15.33203125" customWidth="1"/>
    <col min="11" max="11" width="13.5" customWidth="1"/>
    <col min="12" max="12" width="19.1640625" customWidth="1"/>
    <col min="13" max="13" width="18.5" customWidth="1"/>
    <col min="14" max="14" width="36" customWidth="1"/>
  </cols>
  <sheetData>
    <row r="1" spans="1:17" ht="14" x14ac:dyDescent="0.2">
      <c r="A1" s="74" t="s">
        <v>34</v>
      </c>
      <c r="B1" s="75"/>
      <c r="C1" s="9"/>
      <c r="D1" s="8" t="s">
        <v>35</v>
      </c>
      <c r="E1" s="13" t="s">
        <v>36</v>
      </c>
      <c r="F1" s="13" t="s">
        <v>37</v>
      </c>
      <c r="G1" s="8" t="s">
        <v>38</v>
      </c>
      <c r="H1" s="8" t="s">
        <v>39</v>
      </c>
      <c r="I1" s="8" t="s">
        <v>40</v>
      </c>
      <c r="J1" s="8" t="s">
        <v>41</v>
      </c>
      <c r="K1" s="8" t="s">
        <v>42</v>
      </c>
      <c r="L1" s="8" t="s">
        <v>43</v>
      </c>
      <c r="M1" s="8" t="s">
        <v>44</v>
      </c>
      <c r="N1" s="8" t="s">
        <v>45</v>
      </c>
      <c r="P1" s="5"/>
      <c r="Q1" s="36"/>
    </row>
    <row r="2" spans="1:17" ht="13" customHeight="1" x14ac:dyDescent="0.15">
      <c r="A2" s="8" t="s">
        <v>46</v>
      </c>
      <c r="D2" s="70" t="s">
        <v>47</v>
      </c>
      <c r="E2" s="64">
        <v>2</v>
      </c>
      <c r="F2" s="64">
        <v>1</v>
      </c>
      <c r="G2" s="21">
        <v>1</v>
      </c>
      <c r="H2" s="22">
        <v>350</v>
      </c>
      <c r="I2" s="22">
        <v>1.1399999999999999</v>
      </c>
      <c r="J2" s="22">
        <v>1.62</v>
      </c>
      <c r="K2" s="22">
        <v>18</v>
      </c>
      <c r="L2" s="22">
        <v>15555.555560000001</v>
      </c>
      <c r="M2" s="22">
        <v>2.76</v>
      </c>
      <c r="N2" s="44">
        <v>100</v>
      </c>
      <c r="P2" s="37"/>
      <c r="Q2" s="38"/>
    </row>
    <row r="3" spans="1:17" ht="13" x14ac:dyDescent="0.15">
      <c r="A3" s="8" t="s">
        <v>48</v>
      </c>
      <c r="B3" s="11"/>
      <c r="D3" s="67"/>
      <c r="E3" s="65"/>
      <c r="F3" s="65"/>
      <c r="G3">
        <v>2</v>
      </c>
      <c r="H3" s="14">
        <v>321</v>
      </c>
      <c r="I3">
        <v>0.53</v>
      </c>
      <c r="J3">
        <v>1.18</v>
      </c>
      <c r="K3" s="14">
        <v>10</v>
      </c>
      <c r="L3" s="14">
        <v>14266.666670000001</v>
      </c>
      <c r="M3" s="14">
        <v>1.71</v>
      </c>
      <c r="N3" s="31">
        <v>100</v>
      </c>
      <c r="P3" s="37"/>
      <c r="Q3" s="38"/>
    </row>
    <row r="4" spans="1:17" ht="13" x14ac:dyDescent="0.15">
      <c r="A4" s="8" t="s">
        <v>49</v>
      </c>
      <c r="B4" s="12"/>
      <c r="D4" s="67"/>
      <c r="E4" s="65"/>
      <c r="F4" s="65"/>
      <c r="G4">
        <v>3</v>
      </c>
      <c r="H4" s="14">
        <v>445</v>
      </c>
      <c r="I4" s="14">
        <v>0.46</v>
      </c>
      <c r="J4" s="14">
        <v>1.76</v>
      </c>
      <c r="K4" s="14">
        <v>12</v>
      </c>
      <c r="L4" s="14">
        <v>19777.77778</v>
      </c>
      <c r="M4" s="14">
        <v>2.2200000000000002</v>
      </c>
      <c r="N4" s="31">
        <v>100</v>
      </c>
      <c r="P4" s="37"/>
      <c r="Q4" s="38"/>
    </row>
    <row r="5" spans="1:17" ht="13" x14ac:dyDescent="0.15">
      <c r="A5" s="8" t="s">
        <v>69</v>
      </c>
      <c r="B5" s="15"/>
      <c r="D5" s="67"/>
      <c r="E5" s="65"/>
      <c r="F5" s="65"/>
      <c r="G5">
        <v>4</v>
      </c>
      <c r="H5" s="14">
        <v>542</v>
      </c>
      <c r="I5" s="14">
        <v>1.7</v>
      </c>
      <c r="J5" s="14">
        <v>4.96</v>
      </c>
      <c r="K5" s="14">
        <v>17</v>
      </c>
      <c r="L5" s="14">
        <v>24088.888889999998</v>
      </c>
      <c r="M5" s="14">
        <v>6.66</v>
      </c>
      <c r="N5" s="31">
        <v>100</v>
      </c>
      <c r="P5" s="37"/>
      <c r="Q5" s="38"/>
    </row>
    <row r="6" spans="1:17" ht="13" x14ac:dyDescent="0.15">
      <c r="D6" s="67"/>
      <c r="E6" s="65"/>
      <c r="F6" s="65"/>
      <c r="G6">
        <v>5</v>
      </c>
      <c r="H6" s="14">
        <v>490</v>
      </c>
      <c r="I6" s="14">
        <v>1.1599999999999999</v>
      </c>
      <c r="J6" s="14">
        <v>0.55000000000000004</v>
      </c>
      <c r="K6" s="14">
        <v>15</v>
      </c>
      <c r="L6" s="14">
        <v>21777.77778</v>
      </c>
      <c r="M6" s="14">
        <v>1.71</v>
      </c>
      <c r="N6" s="31">
        <v>100</v>
      </c>
      <c r="P6" s="37"/>
      <c r="Q6" s="38"/>
    </row>
    <row r="7" spans="1:17" ht="13" x14ac:dyDescent="0.15">
      <c r="D7" s="67"/>
      <c r="E7" s="65"/>
      <c r="F7" s="65">
        <v>2</v>
      </c>
      <c r="G7">
        <v>1</v>
      </c>
      <c r="H7">
        <v>460</v>
      </c>
      <c r="I7">
        <v>1.1200000000000001</v>
      </c>
      <c r="J7">
        <v>2.44</v>
      </c>
      <c r="K7" s="14">
        <v>20</v>
      </c>
      <c r="L7" s="14">
        <v>20444.444439999999</v>
      </c>
      <c r="M7" s="14">
        <v>3.56</v>
      </c>
      <c r="N7" s="31">
        <v>100</v>
      </c>
      <c r="P7" s="37"/>
      <c r="Q7" s="38"/>
    </row>
    <row r="8" spans="1:17" ht="13" x14ac:dyDescent="0.15">
      <c r="D8" s="67"/>
      <c r="E8" s="65"/>
      <c r="F8" s="65"/>
      <c r="G8">
        <v>2</v>
      </c>
      <c r="H8" s="14">
        <v>649</v>
      </c>
      <c r="I8" s="14">
        <v>2.02</v>
      </c>
      <c r="J8" s="14">
        <v>3.65</v>
      </c>
      <c r="K8" s="14">
        <v>25</v>
      </c>
      <c r="L8" s="14">
        <v>28844.444439999999</v>
      </c>
      <c r="M8" s="14">
        <v>5.67</v>
      </c>
      <c r="N8" s="31">
        <v>100</v>
      </c>
      <c r="P8" s="39"/>
      <c r="Q8" s="40"/>
    </row>
    <row r="9" spans="1:17" ht="13" x14ac:dyDescent="0.15">
      <c r="D9" s="67"/>
      <c r="E9" s="65"/>
      <c r="F9" s="65"/>
      <c r="G9">
        <v>3</v>
      </c>
      <c r="H9" s="14">
        <v>937</v>
      </c>
      <c r="I9" s="14">
        <v>0.84</v>
      </c>
      <c r="J9" s="14">
        <v>2.69</v>
      </c>
      <c r="K9" s="14">
        <v>18</v>
      </c>
      <c r="L9" s="14">
        <v>41644.444439999999</v>
      </c>
      <c r="M9" s="14">
        <v>3.53</v>
      </c>
      <c r="N9" s="31">
        <v>100</v>
      </c>
      <c r="P9" s="39"/>
      <c r="Q9" s="40"/>
    </row>
    <row r="10" spans="1:17" ht="13" x14ac:dyDescent="0.15">
      <c r="D10" s="67"/>
      <c r="E10" s="65"/>
      <c r="F10" s="65"/>
      <c r="G10">
        <v>4</v>
      </c>
      <c r="H10" s="14">
        <v>837</v>
      </c>
      <c r="I10" s="14">
        <v>0.65</v>
      </c>
      <c r="J10" s="14">
        <v>1.85</v>
      </c>
      <c r="K10" s="14">
        <v>12</v>
      </c>
      <c r="L10" s="14">
        <v>37200</v>
      </c>
      <c r="M10" s="14">
        <v>2.5</v>
      </c>
      <c r="N10" s="31">
        <v>100</v>
      </c>
      <c r="P10" s="37"/>
      <c r="Q10" s="40"/>
    </row>
    <row r="11" spans="1:17" ht="14" x14ac:dyDescent="0.2">
      <c r="D11" s="67"/>
      <c r="E11" s="65"/>
      <c r="F11" s="65"/>
      <c r="G11">
        <v>5</v>
      </c>
      <c r="H11">
        <v>603</v>
      </c>
      <c r="I11">
        <v>0.74</v>
      </c>
      <c r="J11">
        <v>1.18</v>
      </c>
      <c r="K11" s="14">
        <v>15</v>
      </c>
      <c r="L11" s="14">
        <v>26800</v>
      </c>
      <c r="M11" s="14">
        <v>1.92</v>
      </c>
      <c r="N11" s="31">
        <v>100</v>
      </c>
      <c r="P11" s="41"/>
      <c r="Q11" s="42"/>
    </row>
    <row r="12" spans="1:17" ht="14" x14ac:dyDescent="0.2">
      <c r="D12" s="67"/>
      <c r="E12" s="65"/>
      <c r="F12" s="65">
        <v>3</v>
      </c>
      <c r="G12">
        <v>1</v>
      </c>
      <c r="H12">
        <v>421</v>
      </c>
      <c r="I12">
        <v>1.59</v>
      </c>
      <c r="J12">
        <v>3.55</v>
      </c>
      <c r="K12" s="14">
        <v>30</v>
      </c>
      <c r="L12" s="14">
        <v>18711.111110000002</v>
      </c>
      <c r="M12" s="14">
        <v>5.14</v>
      </c>
      <c r="N12" s="31">
        <v>100</v>
      </c>
      <c r="P12" s="41"/>
      <c r="Q12" s="42"/>
    </row>
    <row r="13" spans="1:17" ht="14" x14ac:dyDescent="0.2">
      <c r="D13" s="67"/>
      <c r="E13" s="65"/>
      <c r="F13" s="65"/>
      <c r="G13">
        <v>2</v>
      </c>
      <c r="H13" s="14">
        <v>47</v>
      </c>
      <c r="I13" s="14">
        <v>0.25</v>
      </c>
      <c r="J13" s="14">
        <v>0.31</v>
      </c>
      <c r="K13" s="14">
        <v>7</v>
      </c>
      <c r="L13" s="14">
        <v>2088.8888889999998</v>
      </c>
      <c r="M13" s="14">
        <v>0.56000000000000005</v>
      </c>
      <c r="N13" s="31">
        <v>100</v>
      </c>
      <c r="P13" s="41"/>
      <c r="Q13" s="42"/>
    </row>
    <row r="14" spans="1:17" ht="13" x14ac:dyDescent="0.15">
      <c r="D14" s="67"/>
      <c r="E14" s="65"/>
      <c r="F14" s="65"/>
      <c r="G14">
        <v>3</v>
      </c>
      <c r="H14">
        <v>252</v>
      </c>
      <c r="I14">
        <v>2.33</v>
      </c>
      <c r="J14">
        <v>2.54</v>
      </c>
      <c r="K14" s="14">
        <v>10</v>
      </c>
      <c r="L14" s="14">
        <v>11200</v>
      </c>
      <c r="M14" s="14">
        <v>4.87</v>
      </c>
      <c r="N14" s="31">
        <v>100</v>
      </c>
      <c r="P14" s="39"/>
      <c r="Q14" s="40"/>
    </row>
    <row r="15" spans="1:17" ht="13" x14ac:dyDescent="0.15">
      <c r="D15" s="67"/>
      <c r="E15" s="65"/>
      <c r="F15" s="65"/>
      <c r="G15">
        <v>4</v>
      </c>
      <c r="H15" s="14">
        <v>518</v>
      </c>
      <c r="I15" s="14">
        <v>1.36</v>
      </c>
      <c r="J15" s="14">
        <v>2.64</v>
      </c>
      <c r="K15" s="14">
        <v>25</v>
      </c>
      <c r="L15" s="14">
        <v>23022.22222</v>
      </c>
      <c r="M15" s="14">
        <v>4</v>
      </c>
      <c r="N15" s="31">
        <v>100</v>
      </c>
      <c r="P15" s="39"/>
      <c r="Q15" s="38"/>
    </row>
    <row r="16" spans="1:17" ht="13" x14ac:dyDescent="0.15">
      <c r="D16" s="67"/>
      <c r="E16" s="66"/>
      <c r="F16" s="66"/>
      <c r="G16" s="19">
        <v>5</v>
      </c>
      <c r="H16" s="20">
        <v>281</v>
      </c>
      <c r="I16" s="20">
        <v>2.35</v>
      </c>
      <c r="J16" s="20">
        <v>5.63</v>
      </c>
      <c r="K16" s="20">
        <v>30</v>
      </c>
      <c r="L16" s="20">
        <v>12488.88889</v>
      </c>
      <c r="M16" s="20">
        <v>7.98</v>
      </c>
      <c r="N16" s="45">
        <v>100</v>
      </c>
      <c r="P16" s="39"/>
      <c r="Q16" s="40"/>
    </row>
    <row r="17" spans="4:17" ht="14" x14ac:dyDescent="0.2">
      <c r="D17" s="67"/>
      <c r="E17" s="65">
        <v>3</v>
      </c>
      <c r="F17" s="65">
        <v>1</v>
      </c>
      <c r="G17">
        <v>1</v>
      </c>
      <c r="H17" s="14">
        <v>97</v>
      </c>
      <c r="I17" s="14">
        <v>0.43</v>
      </c>
      <c r="J17" s="14">
        <v>0.73</v>
      </c>
      <c r="K17" s="14">
        <v>25</v>
      </c>
      <c r="L17" s="14">
        <v>4311.1111110000002</v>
      </c>
      <c r="M17" s="14">
        <v>1.1599999999999999</v>
      </c>
      <c r="N17" s="31">
        <v>100</v>
      </c>
      <c r="P17" s="39"/>
      <c r="Q17" s="42"/>
    </row>
    <row r="18" spans="4:17" ht="13" x14ac:dyDescent="0.15">
      <c r="D18" s="67"/>
      <c r="E18" s="65"/>
      <c r="F18" s="65"/>
      <c r="G18">
        <v>2</v>
      </c>
      <c r="H18" s="14">
        <v>81</v>
      </c>
      <c r="I18">
        <v>0.53</v>
      </c>
      <c r="J18">
        <v>0.46</v>
      </c>
      <c r="K18" s="14">
        <v>5</v>
      </c>
      <c r="L18" s="14">
        <v>3600</v>
      </c>
      <c r="M18" s="14">
        <v>0.99</v>
      </c>
      <c r="N18" s="31">
        <v>100</v>
      </c>
      <c r="P18" s="39"/>
      <c r="Q18" s="38"/>
    </row>
    <row r="19" spans="4:17" ht="14" x14ac:dyDescent="0.2">
      <c r="D19" s="67"/>
      <c r="E19" s="65"/>
      <c r="F19" s="65"/>
      <c r="G19">
        <v>3</v>
      </c>
      <c r="H19" s="14">
        <v>153</v>
      </c>
      <c r="I19" s="14">
        <v>0.96</v>
      </c>
      <c r="J19" s="14">
        <v>0.55000000000000004</v>
      </c>
      <c r="K19" s="14">
        <v>10</v>
      </c>
      <c r="L19" s="14">
        <v>6800</v>
      </c>
      <c r="M19" s="14">
        <v>1.51</v>
      </c>
      <c r="N19" s="31">
        <v>100</v>
      </c>
      <c r="P19" s="39"/>
      <c r="Q19" s="42"/>
    </row>
    <row r="20" spans="4:17" ht="13" x14ac:dyDescent="0.15">
      <c r="D20" s="67"/>
      <c r="E20" s="65"/>
      <c r="F20" s="65"/>
      <c r="G20">
        <v>4</v>
      </c>
      <c r="H20" s="14">
        <v>57</v>
      </c>
      <c r="I20" s="14">
        <v>0.3</v>
      </c>
      <c r="J20" s="14">
        <v>0.11</v>
      </c>
      <c r="K20" s="14">
        <v>30</v>
      </c>
      <c r="L20" s="14">
        <v>2533.333333</v>
      </c>
      <c r="M20" s="14">
        <v>0.41</v>
      </c>
      <c r="N20" s="31">
        <v>100</v>
      </c>
      <c r="P20" s="37"/>
      <c r="Q20" s="40"/>
    </row>
    <row r="21" spans="4:17" ht="14" x14ac:dyDescent="0.2">
      <c r="D21" s="67"/>
      <c r="E21" s="65"/>
      <c r="F21" s="65"/>
      <c r="G21">
        <v>5</v>
      </c>
      <c r="H21" s="14">
        <v>289</v>
      </c>
      <c r="I21" s="14">
        <v>0.8</v>
      </c>
      <c r="J21" s="14">
        <v>0.84</v>
      </c>
      <c r="K21" s="14">
        <v>40</v>
      </c>
      <c r="L21" s="14">
        <v>12844.444439999999</v>
      </c>
      <c r="M21" s="14">
        <v>1.64</v>
      </c>
      <c r="N21" s="31">
        <v>100</v>
      </c>
      <c r="P21" s="41"/>
      <c r="Q21" s="42"/>
    </row>
    <row r="22" spans="4:17" ht="14" x14ac:dyDescent="0.2">
      <c r="D22" s="67"/>
      <c r="E22" s="65"/>
      <c r="F22" s="65">
        <v>2</v>
      </c>
      <c r="G22">
        <v>1</v>
      </c>
      <c r="H22" s="14">
        <v>299</v>
      </c>
      <c r="I22" s="14">
        <v>3.85</v>
      </c>
      <c r="J22" s="14">
        <v>4.76</v>
      </c>
      <c r="K22" s="14">
        <v>70</v>
      </c>
      <c r="L22" s="14">
        <v>13288.88889</v>
      </c>
      <c r="M22" s="14">
        <v>8.61</v>
      </c>
      <c r="N22" s="31">
        <v>100</v>
      </c>
      <c r="P22" s="41"/>
      <c r="Q22" s="42"/>
    </row>
    <row r="23" spans="4:17" ht="14" x14ac:dyDescent="0.2">
      <c r="D23" s="67"/>
      <c r="E23" s="65"/>
      <c r="F23" s="65"/>
      <c r="G23">
        <v>2</v>
      </c>
      <c r="H23" s="14">
        <v>208</v>
      </c>
      <c r="I23" s="14">
        <v>2.52</v>
      </c>
      <c r="J23" s="14">
        <v>1.92</v>
      </c>
      <c r="K23" s="14">
        <v>25</v>
      </c>
      <c r="L23" s="14">
        <v>9244.4444440000007</v>
      </c>
      <c r="M23" s="14">
        <v>4.4400000000000004</v>
      </c>
      <c r="N23" s="31">
        <v>100</v>
      </c>
      <c r="P23" s="41"/>
      <c r="Q23" s="42"/>
    </row>
    <row r="24" spans="4:17" ht="13" x14ac:dyDescent="0.15">
      <c r="D24" s="67"/>
      <c r="E24" s="65"/>
      <c r="F24" s="65"/>
      <c r="G24">
        <v>3</v>
      </c>
      <c r="H24" s="14">
        <v>172</v>
      </c>
      <c r="I24" s="14">
        <v>3.3</v>
      </c>
      <c r="J24" s="14">
        <v>2.71</v>
      </c>
      <c r="K24" s="14">
        <v>25</v>
      </c>
      <c r="L24" s="14">
        <v>7644.4444439999997</v>
      </c>
      <c r="M24" s="14">
        <v>6.01</v>
      </c>
      <c r="N24" s="31">
        <v>100</v>
      </c>
      <c r="P24" s="37"/>
      <c r="Q24" s="38"/>
    </row>
    <row r="25" spans="4:17" ht="13" x14ac:dyDescent="0.15">
      <c r="D25" s="67"/>
      <c r="E25" s="65"/>
      <c r="F25" s="65"/>
      <c r="G25">
        <v>4</v>
      </c>
      <c r="H25" s="14">
        <v>153</v>
      </c>
      <c r="I25" s="14">
        <v>0.6</v>
      </c>
      <c r="J25" s="14">
        <v>1.5</v>
      </c>
      <c r="K25" s="14">
        <v>15</v>
      </c>
      <c r="L25" s="14">
        <v>6800</v>
      </c>
      <c r="M25" s="14">
        <v>2.1</v>
      </c>
      <c r="N25" s="31">
        <v>100</v>
      </c>
      <c r="P25" s="37"/>
      <c r="Q25" s="38"/>
    </row>
    <row r="26" spans="4:17" ht="14" x14ac:dyDescent="0.2">
      <c r="D26" s="67"/>
      <c r="E26" s="65"/>
      <c r="F26" s="65"/>
      <c r="G26">
        <v>5</v>
      </c>
      <c r="H26" s="14">
        <v>199</v>
      </c>
      <c r="I26" s="14">
        <v>0.9</v>
      </c>
      <c r="J26" s="14">
        <v>1.88</v>
      </c>
      <c r="K26" s="14">
        <v>25</v>
      </c>
      <c r="L26" s="14">
        <v>8844.4444440000007</v>
      </c>
      <c r="M26" s="14">
        <v>2.78</v>
      </c>
      <c r="N26" s="31">
        <v>100</v>
      </c>
      <c r="P26" s="37"/>
      <c r="Q26" s="42"/>
    </row>
    <row r="27" spans="4:17" ht="13" x14ac:dyDescent="0.15">
      <c r="D27" s="67"/>
      <c r="E27" s="65"/>
      <c r="F27" s="65">
        <v>3</v>
      </c>
      <c r="G27">
        <v>1</v>
      </c>
      <c r="H27" s="14">
        <v>88</v>
      </c>
      <c r="I27" s="14">
        <v>2.79</v>
      </c>
      <c r="J27" s="14">
        <v>2.35</v>
      </c>
      <c r="K27" s="14">
        <v>35</v>
      </c>
      <c r="L27" s="14">
        <v>3911.1111110000002</v>
      </c>
      <c r="M27" s="14">
        <v>5.14</v>
      </c>
      <c r="N27" s="31">
        <v>100</v>
      </c>
      <c r="P27" s="37"/>
      <c r="Q27" s="38"/>
    </row>
    <row r="28" spans="4:17" ht="13" x14ac:dyDescent="0.15">
      <c r="D28" s="67"/>
      <c r="E28" s="65"/>
      <c r="F28" s="65"/>
      <c r="G28">
        <v>2</v>
      </c>
      <c r="H28" s="47">
        <v>0</v>
      </c>
      <c r="I28" s="47">
        <v>0</v>
      </c>
      <c r="J28" s="47">
        <v>0</v>
      </c>
      <c r="K28" s="47">
        <v>0</v>
      </c>
      <c r="L28" s="47">
        <v>0</v>
      </c>
      <c r="M28" s="47">
        <v>0</v>
      </c>
      <c r="N28" s="55">
        <v>100</v>
      </c>
      <c r="P28" s="37"/>
      <c r="Q28" s="38"/>
    </row>
    <row r="29" spans="4:17" ht="14" x14ac:dyDescent="0.2">
      <c r="D29" s="67"/>
      <c r="E29" s="65"/>
      <c r="F29" s="65"/>
      <c r="G29">
        <v>3</v>
      </c>
      <c r="H29" s="14">
        <v>25</v>
      </c>
      <c r="I29" s="14">
        <v>0.26</v>
      </c>
      <c r="J29" s="14">
        <v>0.23</v>
      </c>
      <c r="K29" s="14">
        <v>3</v>
      </c>
      <c r="L29" s="14">
        <v>1111.1111109999999</v>
      </c>
      <c r="M29" s="14">
        <v>0.49</v>
      </c>
      <c r="N29" s="31">
        <v>100</v>
      </c>
      <c r="P29" s="41"/>
      <c r="Q29" s="42"/>
    </row>
    <row r="30" spans="4:17" ht="14" x14ac:dyDescent="0.2">
      <c r="D30" s="67"/>
      <c r="E30" s="65"/>
      <c r="F30" s="65"/>
      <c r="G30">
        <v>4</v>
      </c>
      <c r="H30" s="14">
        <v>55</v>
      </c>
      <c r="I30" s="14">
        <v>0.23</v>
      </c>
      <c r="J30" s="14">
        <v>0.1</v>
      </c>
      <c r="K30" s="14">
        <v>20</v>
      </c>
      <c r="L30" s="14">
        <v>2444.4444440000002</v>
      </c>
      <c r="M30" s="14">
        <v>0.33</v>
      </c>
      <c r="N30" s="31">
        <v>100</v>
      </c>
      <c r="P30" s="39"/>
      <c r="Q30" s="42"/>
    </row>
    <row r="31" spans="4:17" ht="14" x14ac:dyDescent="0.2">
      <c r="D31" s="67"/>
      <c r="E31" s="66"/>
      <c r="F31" s="66"/>
      <c r="G31" s="19">
        <v>5</v>
      </c>
      <c r="H31" s="20">
        <v>174</v>
      </c>
      <c r="I31" s="20">
        <v>0.34</v>
      </c>
      <c r="J31" s="20">
        <v>0.77</v>
      </c>
      <c r="K31" s="20">
        <v>45</v>
      </c>
      <c r="L31" s="20">
        <v>7733.3333329999996</v>
      </c>
      <c r="M31" s="20">
        <v>1.1100000000000001</v>
      </c>
      <c r="N31" s="45">
        <v>100</v>
      </c>
      <c r="P31" s="39"/>
      <c r="Q31" s="42"/>
    </row>
    <row r="32" spans="4:17" ht="13" x14ac:dyDescent="0.15">
      <c r="D32" s="67"/>
      <c r="E32" s="64">
        <v>7</v>
      </c>
      <c r="F32" s="64">
        <v>1</v>
      </c>
      <c r="G32" s="21">
        <v>1</v>
      </c>
      <c r="H32" s="22">
        <v>130</v>
      </c>
      <c r="I32" s="22">
        <v>0.32</v>
      </c>
      <c r="J32" s="22">
        <v>0.22</v>
      </c>
      <c r="K32" s="22">
        <v>7</v>
      </c>
      <c r="L32" s="22">
        <v>5777.7777779999997</v>
      </c>
      <c r="M32" s="22">
        <v>0.54</v>
      </c>
      <c r="N32" s="44">
        <v>100</v>
      </c>
    </row>
    <row r="33" spans="4:14" ht="13" x14ac:dyDescent="0.15">
      <c r="D33" s="67"/>
      <c r="E33" s="65"/>
      <c r="F33" s="65"/>
      <c r="G33">
        <v>2</v>
      </c>
      <c r="H33" s="14">
        <v>346</v>
      </c>
      <c r="I33">
        <v>0.72</v>
      </c>
      <c r="J33">
        <v>1.81</v>
      </c>
      <c r="K33" s="14">
        <v>38</v>
      </c>
      <c r="L33" s="14">
        <v>15377.77778</v>
      </c>
      <c r="M33" s="14">
        <v>2.5299999999999998</v>
      </c>
      <c r="N33" s="31">
        <v>100</v>
      </c>
    </row>
    <row r="34" spans="4:14" ht="13" x14ac:dyDescent="0.15">
      <c r="D34" s="67"/>
      <c r="E34" s="65"/>
      <c r="F34" s="65"/>
      <c r="G34">
        <v>3</v>
      </c>
      <c r="H34" s="14">
        <v>500</v>
      </c>
      <c r="I34" s="14">
        <v>0.8</v>
      </c>
      <c r="J34" s="14">
        <v>1.8</v>
      </c>
      <c r="K34" s="14">
        <v>30</v>
      </c>
      <c r="L34" s="14">
        <v>22222.22222</v>
      </c>
      <c r="M34" s="14">
        <v>2.6</v>
      </c>
      <c r="N34" s="31">
        <v>100</v>
      </c>
    </row>
    <row r="35" spans="4:14" ht="13" x14ac:dyDescent="0.15">
      <c r="D35" s="67"/>
      <c r="E35" s="65"/>
      <c r="F35" s="65"/>
      <c r="G35">
        <v>4</v>
      </c>
      <c r="H35" s="14">
        <v>151</v>
      </c>
      <c r="I35" s="14">
        <v>0.48</v>
      </c>
      <c r="J35" s="14">
        <v>0.5</v>
      </c>
      <c r="K35" s="14">
        <v>7</v>
      </c>
      <c r="L35" s="14">
        <v>6711.1111110000002</v>
      </c>
      <c r="M35" s="14">
        <v>0.98</v>
      </c>
      <c r="N35" s="31">
        <v>100</v>
      </c>
    </row>
    <row r="36" spans="4:14" ht="13" x14ac:dyDescent="0.15">
      <c r="D36" s="67"/>
      <c r="E36" s="65"/>
      <c r="F36" s="65"/>
      <c r="G36">
        <v>5</v>
      </c>
      <c r="H36" s="14">
        <v>660</v>
      </c>
      <c r="I36" s="14">
        <v>2.4</v>
      </c>
      <c r="J36" s="14">
        <v>3</v>
      </c>
      <c r="K36" s="14">
        <v>7</v>
      </c>
      <c r="L36" s="14">
        <v>29333.333330000001</v>
      </c>
      <c r="M36" s="14">
        <v>5.4</v>
      </c>
      <c r="N36" s="31">
        <v>100</v>
      </c>
    </row>
    <row r="37" spans="4:14" ht="13" x14ac:dyDescent="0.15">
      <c r="D37" s="67"/>
      <c r="E37" s="65"/>
      <c r="F37" s="65">
        <v>2</v>
      </c>
      <c r="G37">
        <v>1</v>
      </c>
      <c r="H37" s="14">
        <v>300</v>
      </c>
      <c r="I37" s="14">
        <v>2.4</v>
      </c>
      <c r="J37" s="14">
        <v>0.8</v>
      </c>
      <c r="K37" s="14">
        <v>38</v>
      </c>
      <c r="L37" s="14">
        <v>13333.333329999999</v>
      </c>
      <c r="M37" s="14">
        <v>3.2</v>
      </c>
      <c r="N37" s="31">
        <v>100</v>
      </c>
    </row>
    <row r="38" spans="4:14" ht="13" x14ac:dyDescent="0.15">
      <c r="D38" s="67"/>
      <c r="E38" s="65"/>
      <c r="F38" s="65"/>
      <c r="G38">
        <v>2</v>
      </c>
      <c r="H38" s="14">
        <v>175</v>
      </c>
      <c r="I38" s="14">
        <v>0.26</v>
      </c>
      <c r="J38" s="14">
        <v>0.43</v>
      </c>
      <c r="K38" s="14">
        <v>5</v>
      </c>
      <c r="L38" s="14">
        <v>7777.7777779999997</v>
      </c>
      <c r="M38" s="14">
        <v>0.69</v>
      </c>
      <c r="N38" s="31">
        <v>100</v>
      </c>
    </row>
    <row r="39" spans="4:14" ht="13" x14ac:dyDescent="0.15">
      <c r="D39" s="67"/>
      <c r="E39" s="65"/>
      <c r="F39" s="65"/>
      <c r="G39">
        <v>3</v>
      </c>
      <c r="H39" s="14">
        <v>134</v>
      </c>
      <c r="I39" s="14">
        <v>0.43</v>
      </c>
      <c r="J39" s="14">
        <v>0.28999999999999998</v>
      </c>
      <c r="K39" s="14">
        <v>25</v>
      </c>
      <c r="L39" s="14">
        <v>5955.5555560000003</v>
      </c>
      <c r="M39" s="14">
        <v>0.72</v>
      </c>
      <c r="N39" s="31">
        <v>100</v>
      </c>
    </row>
    <row r="40" spans="4:14" ht="13" x14ac:dyDescent="0.15">
      <c r="D40" s="67"/>
      <c r="E40" s="65"/>
      <c r="F40" s="65"/>
      <c r="G40">
        <v>4</v>
      </c>
      <c r="H40" s="14">
        <v>326</v>
      </c>
      <c r="I40" s="14">
        <v>0.28999999999999998</v>
      </c>
      <c r="J40" s="14">
        <v>0.79</v>
      </c>
      <c r="K40" s="14">
        <v>17</v>
      </c>
      <c r="L40" s="14">
        <v>14488.88889</v>
      </c>
      <c r="M40" s="14">
        <v>1.08</v>
      </c>
      <c r="N40" s="31">
        <v>100</v>
      </c>
    </row>
    <row r="41" spans="4:14" ht="13" x14ac:dyDescent="0.15">
      <c r="D41" s="67"/>
      <c r="E41" s="65"/>
      <c r="F41" s="65"/>
      <c r="G41">
        <v>5</v>
      </c>
      <c r="H41" s="14">
        <v>216</v>
      </c>
      <c r="I41" s="14">
        <v>0.49</v>
      </c>
      <c r="J41" s="14">
        <v>0.55000000000000004</v>
      </c>
      <c r="K41" s="14">
        <v>25</v>
      </c>
      <c r="L41" s="14">
        <v>9600</v>
      </c>
      <c r="M41" s="14">
        <v>1.04</v>
      </c>
      <c r="N41" s="31">
        <v>100</v>
      </c>
    </row>
    <row r="42" spans="4:14" ht="13" x14ac:dyDescent="0.15">
      <c r="D42" s="67"/>
      <c r="E42" s="65"/>
      <c r="F42" s="72">
        <v>3</v>
      </c>
      <c r="G42">
        <v>1</v>
      </c>
      <c r="H42" s="14">
        <v>206</v>
      </c>
      <c r="I42" s="14">
        <v>0.28000000000000003</v>
      </c>
      <c r="J42" s="14">
        <v>0.46</v>
      </c>
      <c r="K42" s="14">
        <v>3</v>
      </c>
      <c r="L42" s="14">
        <v>9155.5555559999993</v>
      </c>
      <c r="M42" s="14">
        <v>0.74</v>
      </c>
      <c r="N42" s="31">
        <v>100</v>
      </c>
    </row>
    <row r="43" spans="4:14" ht="13" x14ac:dyDescent="0.15">
      <c r="D43" s="67"/>
      <c r="E43" s="65"/>
      <c r="F43" s="72"/>
      <c r="G43">
        <v>2</v>
      </c>
      <c r="H43" s="14">
        <v>81</v>
      </c>
      <c r="I43" s="14">
        <v>0.2</v>
      </c>
      <c r="J43" s="14">
        <v>3.01</v>
      </c>
      <c r="K43" s="14">
        <v>5</v>
      </c>
      <c r="L43" s="14">
        <v>3600</v>
      </c>
      <c r="M43" s="14">
        <v>3.21</v>
      </c>
      <c r="N43" s="31">
        <v>100</v>
      </c>
    </row>
    <row r="44" spans="4:14" ht="13" x14ac:dyDescent="0.15">
      <c r="D44" s="67"/>
      <c r="E44" s="65"/>
      <c r="F44" s="72"/>
      <c r="G44">
        <v>3</v>
      </c>
      <c r="H44" s="14">
        <v>213</v>
      </c>
      <c r="I44" s="14">
        <v>0.1</v>
      </c>
      <c r="J44" s="14">
        <v>0.33</v>
      </c>
      <c r="K44" s="14">
        <v>17</v>
      </c>
      <c r="L44" s="14">
        <v>9466.6666669999995</v>
      </c>
      <c r="M44" s="14">
        <v>0.43</v>
      </c>
      <c r="N44" s="31">
        <v>100</v>
      </c>
    </row>
    <row r="45" spans="4:14" ht="13" x14ac:dyDescent="0.15">
      <c r="D45" s="67"/>
      <c r="E45" s="65"/>
      <c r="F45" s="72"/>
      <c r="G45">
        <v>4</v>
      </c>
      <c r="H45" s="14">
        <v>62</v>
      </c>
      <c r="I45" s="14">
        <v>0.26</v>
      </c>
      <c r="J45" s="14">
        <v>0.28000000000000003</v>
      </c>
      <c r="K45" s="14">
        <v>2</v>
      </c>
      <c r="L45" s="14">
        <v>2755.5555559999998</v>
      </c>
      <c r="M45" s="14">
        <v>0.54</v>
      </c>
      <c r="N45" s="31">
        <v>100</v>
      </c>
    </row>
    <row r="46" spans="4:14" ht="13" x14ac:dyDescent="0.15">
      <c r="D46" s="67"/>
      <c r="E46" s="66"/>
      <c r="F46" s="73"/>
      <c r="G46" s="19">
        <v>5</v>
      </c>
      <c r="H46" s="20">
        <v>163</v>
      </c>
      <c r="I46" s="20">
        <v>0.24</v>
      </c>
      <c r="J46" s="20">
        <v>0.88</v>
      </c>
      <c r="K46" s="20">
        <v>1</v>
      </c>
      <c r="L46" s="20">
        <v>7244.4444439999997</v>
      </c>
      <c r="M46" s="20">
        <v>1.1200000000000001</v>
      </c>
      <c r="N46" s="45">
        <v>100</v>
      </c>
    </row>
    <row r="47" spans="4:14" ht="13" x14ac:dyDescent="0.15">
      <c r="D47" s="67"/>
      <c r="E47" s="65">
        <v>8</v>
      </c>
      <c r="F47" s="65">
        <v>1</v>
      </c>
      <c r="G47">
        <v>1</v>
      </c>
      <c r="H47" s="15"/>
      <c r="I47" s="15"/>
      <c r="J47" s="15"/>
      <c r="K47" s="14">
        <v>25</v>
      </c>
      <c r="L47" s="15"/>
      <c r="M47" s="15"/>
      <c r="N47" s="29"/>
    </row>
    <row r="48" spans="4:14" ht="13" x14ac:dyDescent="0.15">
      <c r="D48" s="67"/>
      <c r="E48" s="65"/>
      <c r="F48" s="65"/>
      <c r="G48">
        <v>2</v>
      </c>
      <c r="H48" s="14">
        <v>670</v>
      </c>
      <c r="I48" s="14">
        <v>2.6</v>
      </c>
      <c r="J48" s="14">
        <v>2.94</v>
      </c>
      <c r="K48" s="14">
        <v>22</v>
      </c>
      <c r="L48" s="14">
        <v>29777.77778</v>
      </c>
      <c r="M48">
        <f>I48+J48</f>
        <v>5.54</v>
      </c>
      <c r="N48" s="24">
        <v>100</v>
      </c>
    </row>
    <row r="49" spans="4:14" ht="13" x14ac:dyDescent="0.15">
      <c r="D49" s="67"/>
      <c r="E49" s="65"/>
      <c r="F49" s="65"/>
      <c r="G49">
        <v>3</v>
      </c>
      <c r="H49" s="17">
        <v>1569</v>
      </c>
      <c r="I49" s="17">
        <v>8.26</v>
      </c>
      <c r="J49" s="17">
        <v>9.91</v>
      </c>
      <c r="K49" s="14">
        <v>45</v>
      </c>
      <c r="L49" s="14">
        <v>69752.484190000003</v>
      </c>
      <c r="M49">
        <f>I49+J49</f>
        <v>18.170000000000002</v>
      </c>
      <c r="N49" s="46">
        <v>4.8425196850000001</v>
      </c>
    </row>
    <row r="50" spans="4:14" ht="13" x14ac:dyDescent="0.15">
      <c r="D50" s="67"/>
      <c r="E50" s="65"/>
      <c r="F50" s="65"/>
      <c r="G50">
        <v>4</v>
      </c>
      <c r="H50" s="15"/>
      <c r="I50" s="15"/>
      <c r="J50" s="15"/>
      <c r="K50" s="14">
        <v>40</v>
      </c>
      <c r="L50" s="15"/>
      <c r="M50" s="15"/>
      <c r="N50" s="29"/>
    </row>
    <row r="51" spans="4:14" ht="13" x14ac:dyDescent="0.15">
      <c r="D51" s="67"/>
      <c r="E51" s="65"/>
      <c r="F51" s="65"/>
      <c r="G51">
        <v>5</v>
      </c>
      <c r="H51" s="17">
        <v>341</v>
      </c>
      <c r="I51" s="17">
        <v>5.49</v>
      </c>
      <c r="J51" s="17">
        <v>3.22</v>
      </c>
      <c r="K51" s="14">
        <v>10</v>
      </c>
      <c r="L51" s="14">
        <v>15147.82609</v>
      </c>
      <c r="M51">
        <f>I51+J51</f>
        <v>8.7100000000000009</v>
      </c>
      <c r="N51" s="46">
        <v>5.2812858780000003</v>
      </c>
    </row>
    <row r="52" spans="4:14" ht="13" x14ac:dyDescent="0.15">
      <c r="D52" s="67"/>
      <c r="E52" s="65"/>
      <c r="F52" s="65">
        <v>2</v>
      </c>
      <c r="G52">
        <v>1</v>
      </c>
      <c r="H52" s="17">
        <v>649</v>
      </c>
      <c r="I52" s="17">
        <v>2.16</v>
      </c>
      <c r="J52" s="17">
        <v>3.11</v>
      </c>
      <c r="K52" s="14">
        <v>15</v>
      </c>
      <c r="L52" s="14">
        <v>28825.599999999999</v>
      </c>
      <c r="M52">
        <f>I52+J52</f>
        <v>5.27</v>
      </c>
      <c r="N52" s="46">
        <v>7.4008288929999999</v>
      </c>
    </row>
    <row r="53" spans="4:14" ht="13" x14ac:dyDescent="0.15">
      <c r="D53" s="67"/>
      <c r="E53" s="65"/>
      <c r="F53" s="65"/>
      <c r="G53">
        <v>2</v>
      </c>
      <c r="H53" s="15"/>
      <c r="I53" s="15"/>
      <c r="J53" s="15"/>
      <c r="K53" s="14">
        <v>15</v>
      </c>
      <c r="L53" s="15"/>
      <c r="M53" s="15"/>
      <c r="N53" s="29"/>
    </row>
    <row r="54" spans="4:14" ht="13" x14ac:dyDescent="0.15">
      <c r="D54" s="67"/>
      <c r="E54" s="65"/>
      <c r="F54" s="65"/>
      <c r="G54">
        <v>3</v>
      </c>
      <c r="H54" s="14">
        <v>306</v>
      </c>
      <c r="I54" s="14">
        <v>1.84</v>
      </c>
      <c r="J54" s="14">
        <v>3.11</v>
      </c>
      <c r="K54" s="14">
        <v>22</v>
      </c>
      <c r="L54" s="14">
        <v>13600</v>
      </c>
      <c r="M54">
        <f>I54+J54</f>
        <v>4.95</v>
      </c>
      <c r="N54" s="31">
        <v>100</v>
      </c>
    </row>
    <row r="55" spans="4:14" ht="13" x14ac:dyDescent="0.15">
      <c r="D55" s="67"/>
      <c r="E55" s="65"/>
      <c r="F55" s="65"/>
      <c r="G55">
        <v>4</v>
      </c>
      <c r="H55" s="17">
        <v>602</v>
      </c>
      <c r="I55" s="17">
        <v>3.38</v>
      </c>
      <c r="J55" s="17">
        <v>4.2</v>
      </c>
      <c r="K55" s="14">
        <v>30</v>
      </c>
      <c r="L55" s="14">
        <v>26757.26496</v>
      </c>
      <c r="M55">
        <f>I55+J55</f>
        <v>7.58</v>
      </c>
      <c r="N55" s="46">
        <v>10.962754739999999</v>
      </c>
    </row>
    <row r="56" spans="4:14" ht="13" x14ac:dyDescent="0.15">
      <c r="D56" s="67"/>
      <c r="E56" s="65"/>
      <c r="F56" s="65"/>
      <c r="G56">
        <v>5</v>
      </c>
      <c r="H56" s="17">
        <v>654</v>
      </c>
      <c r="I56" s="17">
        <v>8.1300000000000008</v>
      </c>
      <c r="J56" s="17">
        <v>7.42</v>
      </c>
      <c r="K56" s="14">
        <v>25</v>
      </c>
      <c r="L56" s="14">
        <v>29067.29264</v>
      </c>
      <c r="M56">
        <f>I56+J56</f>
        <v>15.55</v>
      </c>
      <c r="N56" s="46">
        <v>5.6573705179999996</v>
      </c>
    </row>
    <row r="57" spans="4:14" ht="13" x14ac:dyDescent="0.15">
      <c r="D57" s="67"/>
      <c r="E57" s="65"/>
      <c r="F57" s="65">
        <v>3</v>
      </c>
      <c r="G57">
        <v>1</v>
      </c>
      <c r="H57" s="15"/>
      <c r="I57" s="15"/>
      <c r="J57" s="15"/>
      <c r="K57" s="14">
        <v>5</v>
      </c>
      <c r="L57" s="15"/>
      <c r="M57" s="15"/>
      <c r="N57" s="29"/>
    </row>
    <row r="58" spans="4:14" ht="13" x14ac:dyDescent="0.15">
      <c r="D58" s="67"/>
      <c r="E58" s="65"/>
      <c r="F58" s="65"/>
      <c r="G58">
        <v>2</v>
      </c>
      <c r="H58" s="15"/>
      <c r="I58" s="15"/>
      <c r="J58" s="15"/>
      <c r="K58" s="14">
        <v>22</v>
      </c>
      <c r="L58" s="15"/>
      <c r="M58" s="15"/>
      <c r="N58" s="29"/>
    </row>
    <row r="59" spans="4:14" ht="13" x14ac:dyDescent="0.15">
      <c r="D59" s="67"/>
      <c r="E59" s="65"/>
      <c r="F59" s="65"/>
      <c r="G59">
        <v>3</v>
      </c>
      <c r="H59" s="15"/>
      <c r="I59" s="15"/>
      <c r="J59" s="15"/>
      <c r="K59" s="14">
        <v>6</v>
      </c>
      <c r="L59" s="15"/>
      <c r="M59" s="15"/>
      <c r="N59" s="29"/>
    </row>
    <row r="60" spans="4:14" ht="13" x14ac:dyDescent="0.15">
      <c r="D60" s="67"/>
      <c r="E60" s="65"/>
      <c r="F60" s="65"/>
      <c r="G60">
        <v>4</v>
      </c>
      <c r="H60" s="15"/>
      <c r="I60" s="15"/>
      <c r="J60" s="15"/>
      <c r="K60" s="14">
        <v>5</v>
      </c>
      <c r="L60" s="15"/>
      <c r="M60" s="15"/>
      <c r="N60" s="29"/>
    </row>
    <row r="61" spans="4:14" ht="13" x14ac:dyDescent="0.15">
      <c r="D61" s="71"/>
      <c r="E61" s="66"/>
      <c r="F61" s="66"/>
      <c r="G61" s="19">
        <v>5</v>
      </c>
      <c r="H61" s="20">
        <v>342</v>
      </c>
      <c r="I61" s="20">
        <v>1.54</v>
      </c>
      <c r="J61" s="20">
        <v>1.08</v>
      </c>
      <c r="K61" s="20">
        <v>7</v>
      </c>
      <c r="L61" s="19">
        <v>15200</v>
      </c>
      <c r="M61" s="19">
        <f>I61+J61</f>
        <v>2.62</v>
      </c>
      <c r="N61" s="25">
        <v>100</v>
      </c>
    </row>
    <row r="62" spans="4:14" ht="13" x14ac:dyDescent="0.15">
      <c r="D62" s="67" t="s">
        <v>50</v>
      </c>
      <c r="E62" s="65">
        <v>1</v>
      </c>
      <c r="F62" s="65">
        <v>1</v>
      </c>
      <c r="G62">
        <v>1</v>
      </c>
      <c r="H62" s="54">
        <v>0</v>
      </c>
      <c r="I62" s="54">
        <v>0</v>
      </c>
      <c r="J62" s="54">
        <v>0</v>
      </c>
      <c r="K62" s="54">
        <v>0</v>
      </c>
      <c r="L62" s="54">
        <v>0</v>
      </c>
      <c r="M62" s="54">
        <v>0</v>
      </c>
      <c r="N62" s="55"/>
    </row>
    <row r="63" spans="4:14" ht="13" x14ac:dyDescent="0.15">
      <c r="D63" s="68"/>
      <c r="E63" s="65"/>
      <c r="F63" s="65"/>
      <c r="G63">
        <v>2</v>
      </c>
      <c r="H63" s="54">
        <v>0</v>
      </c>
      <c r="I63" s="54">
        <v>0</v>
      </c>
      <c r="J63" s="54">
        <v>0</v>
      </c>
      <c r="K63" s="54">
        <v>0</v>
      </c>
      <c r="L63" s="54">
        <v>0</v>
      </c>
      <c r="M63" s="54">
        <v>0</v>
      </c>
      <c r="N63" s="55"/>
    </row>
    <row r="64" spans="4:14" ht="13" x14ac:dyDescent="0.15">
      <c r="D64" s="68"/>
      <c r="E64" s="65"/>
      <c r="F64" s="65"/>
      <c r="G64">
        <v>3</v>
      </c>
      <c r="H64" s="54">
        <v>0</v>
      </c>
      <c r="I64" s="54">
        <v>0</v>
      </c>
      <c r="J64" s="54">
        <v>0</v>
      </c>
      <c r="K64" s="54">
        <v>0</v>
      </c>
      <c r="L64" s="54">
        <v>0</v>
      </c>
      <c r="M64" s="54">
        <v>0</v>
      </c>
      <c r="N64" s="55"/>
    </row>
    <row r="65" spans="4:14" ht="13" x14ac:dyDescent="0.15">
      <c r="D65" s="68"/>
      <c r="E65" s="65"/>
      <c r="F65" s="65"/>
      <c r="G65">
        <v>4</v>
      </c>
      <c r="H65" s="54">
        <v>0</v>
      </c>
      <c r="I65" s="54">
        <v>0</v>
      </c>
      <c r="J65" s="54">
        <v>0</v>
      </c>
      <c r="K65" s="54">
        <v>0</v>
      </c>
      <c r="L65" s="54">
        <v>0</v>
      </c>
      <c r="M65" s="54">
        <v>0</v>
      </c>
      <c r="N65" s="55"/>
    </row>
    <row r="66" spans="4:14" ht="13" x14ac:dyDescent="0.15">
      <c r="D66" s="68"/>
      <c r="E66" s="65"/>
      <c r="F66" s="65"/>
      <c r="G66">
        <v>5</v>
      </c>
      <c r="H66" s="54">
        <v>0</v>
      </c>
      <c r="I66" s="54">
        <v>0</v>
      </c>
      <c r="J66" s="54">
        <v>0</v>
      </c>
      <c r="K66" s="54">
        <v>0</v>
      </c>
      <c r="L66" s="54">
        <v>0</v>
      </c>
      <c r="M66" s="54">
        <v>0</v>
      </c>
      <c r="N66" s="55"/>
    </row>
    <row r="67" spans="4:14" ht="13" x14ac:dyDescent="0.15">
      <c r="D67" s="68"/>
      <c r="E67" s="65"/>
      <c r="F67" s="65">
        <v>2</v>
      </c>
      <c r="G67">
        <v>1</v>
      </c>
      <c r="H67" s="54">
        <v>0</v>
      </c>
      <c r="I67" s="54">
        <v>0</v>
      </c>
      <c r="J67" s="54">
        <v>0</v>
      </c>
      <c r="K67" s="54">
        <v>0</v>
      </c>
      <c r="L67" s="54">
        <v>0</v>
      </c>
      <c r="M67" s="54">
        <v>0</v>
      </c>
      <c r="N67" s="55"/>
    </row>
    <row r="68" spans="4:14" ht="13" x14ac:dyDescent="0.15">
      <c r="D68" s="68"/>
      <c r="E68" s="65"/>
      <c r="F68" s="65"/>
      <c r="G68">
        <v>2</v>
      </c>
      <c r="H68" s="54">
        <v>0</v>
      </c>
      <c r="I68" s="54">
        <v>0</v>
      </c>
      <c r="J68" s="54">
        <v>0</v>
      </c>
      <c r="K68" s="54">
        <v>0</v>
      </c>
      <c r="L68" s="54">
        <v>0</v>
      </c>
      <c r="M68" s="54">
        <v>0</v>
      </c>
      <c r="N68" s="55"/>
    </row>
    <row r="69" spans="4:14" ht="13" x14ac:dyDescent="0.15">
      <c r="D69" s="68"/>
      <c r="E69" s="65"/>
      <c r="F69" s="65"/>
      <c r="G69">
        <v>3</v>
      </c>
      <c r="H69" s="54">
        <v>0</v>
      </c>
      <c r="I69" s="54">
        <v>0</v>
      </c>
      <c r="J69" s="54">
        <v>0</v>
      </c>
      <c r="K69" s="54">
        <v>0</v>
      </c>
      <c r="L69" s="54">
        <v>0</v>
      </c>
      <c r="M69" s="54">
        <v>0</v>
      </c>
      <c r="N69" s="55"/>
    </row>
    <row r="70" spans="4:14" ht="13" x14ac:dyDescent="0.15">
      <c r="D70" s="68"/>
      <c r="E70" s="65"/>
      <c r="F70" s="65"/>
      <c r="G70">
        <v>4</v>
      </c>
      <c r="H70" s="54">
        <v>0</v>
      </c>
      <c r="I70" s="54">
        <v>0</v>
      </c>
      <c r="J70" s="54">
        <v>0</v>
      </c>
      <c r="K70" s="54">
        <v>0</v>
      </c>
      <c r="L70" s="54">
        <v>0</v>
      </c>
      <c r="M70" s="54">
        <v>0</v>
      </c>
      <c r="N70" s="55"/>
    </row>
    <row r="71" spans="4:14" ht="13" x14ac:dyDescent="0.15">
      <c r="D71" s="68"/>
      <c r="E71" s="65"/>
      <c r="F71" s="65"/>
      <c r="G71">
        <v>5</v>
      </c>
      <c r="H71" s="54">
        <v>0</v>
      </c>
      <c r="I71" s="54">
        <v>0</v>
      </c>
      <c r="J71" s="54">
        <v>0</v>
      </c>
      <c r="K71" s="54">
        <v>0</v>
      </c>
      <c r="L71" s="54">
        <v>0</v>
      </c>
      <c r="M71" s="54">
        <v>0</v>
      </c>
      <c r="N71" s="55"/>
    </row>
    <row r="72" spans="4:14" ht="13" x14ac:dyDescent="0.15">
      <c r="D72" s="68"/>
      <c r="E72" s="65"/>
      <c r="F72" s="65">
        <v>3</v>
      </c>
      <c r="G72">
        <v>1</v>
      </c>
      <c r="H72" s="54">
        <v>0</v>
      </c>
      <c r="I72" s="54">
        <v>0</v>
      </c>
      <c r="J72" s="54">
        <v>0</v>
      </c>
      <c r="K72" s="54">
        <v>0</v>
      </c>
      <c r="L72" s="54">
        <v>0</v>
      </c>
      <c r="M72" s="54">
        <v>0</v>
      </c>
      <c r="N72" s="55"/>
    </row>
    <row r="73" spans="4:14" ht="13" x14ac:dyDescent="0.15">
      <c r="D73" s="68"/>
      <c r="E73" s="65"/>
      <c r="F73" s="65"/>
      <c r="G73">
        <v>2</v>
      </c>
      <c r="H73" s="54">
        <v>0</v>
      </c>
      <c r="I73" s="54">
        <v>0</v>
      </c>
      <c r="J73" s="54">
        <v>0</v>
      </c>
      <c r="K73" s="54">
        <v>0</v>
      </c>
      <c r="L73" s="54">
        <v>0</v>
      </c>
      <c r="M73" s="54">
        <v>0</v>
      </c>
      <c r="N73" s="55"/>
    </row>
    <row r="74" spans="4:14" ht="13" x14ac:dyDescent="0.15">
      <c r="D74" s="68"/>
      <c r="E74" s="65"/>
      <c r="F74" s="65"/>
      <c r="G74">
        <v>3</v>
      </c>
      <c r="H74" s="54">
        <v>0</v>
      </c>
      <c r="I74" s="54">
        <v>0</v>
      </c>
      <c r="J74" s="54">
        <v>0</v>
      </c>
      <c r="K74" s="54">
        <v>0</v>
      </c>
      <c r="L74" s="54">
        <v>0</v>
      </c>
      <c r="M74" s="54">
        <v>0</v>
      </c>
      <c r="N74" s="55"/>
    </row>
    <row r="75" spans="4:14" ht="13" x14ac:dyDescent="0.15">
      <c r="D75" s="68"/>
      <c r="E75" s="65"/>
      <c r="F75" s="65"/>
      <c r="G75">
        <v>4</v>
      </c>
      <c r="H75" s="54">
        <v>0</v>
      </c>
      <c r="I75" s="54">
        <v>0</v>
      </c>
      <c r="J75" s="54">
        <v>0</v>
      </c>
      <c r="K75" s="54">
        <v>0</v>
      </c>
      <c r="L75" s="54">
        <v>0</v>
      </c>
      <c r="M75" s="54">
        <v>0</v>
      </c>
      <c r="N75" s="55"/>
    </row>
    <row r="76" spans="4:14" ht="13" x14ac:dyDescent="0.15">
      <c r="D76" s="68"/>
      <c r="E76" s="65"/>
      <c r="F76" s="65"/>
      <c r="G76">
        <v>5</v>
      </c>
      <c r="H76" s="54">
        <v>0</v>
      </c>
      <c r="I76" s="54">
        <v>0</v>
      </c>
      <c r="J76" s="54">
        <v>0</v>
      </c>
      <c r="K76" s="54">
        <v>0</v>
      </c>
      <c r="L76" s="54">
        <v>0</v>
      </c>
      <c r="M76" s="54">
        <v>0</v>
      </c>
      <c r="N76" s="55"/>
    </row>
    <row r="77" spans="4:14" ht="13" x14ac:dyDescent="0.15">
      <c r="D77" s="68"/>
      <c r="E77" s="64">
        <v>4</v>
      </c>
      <c r="F77" s="64">
        <v>1</v>
      </c>
      <c r="G77" s="21">
        <v>1</v>
      </c>
      <c r="H77" s="22">
        <v>198</v>
      </c>
      <c r="I77" s="22">
        <v>0.54</v>
      </c>
      <c r="J77" s="22">
        <v>1.07</v>
      </c>
      <c r="K77" s="22">
        <v>25</v>
      </c>
      <c r="L77" s="22">
        <v>8800</v>
      </c>
      <c r="M77" s="22">
        <v>1.61</v>
      </c>
      <c r="N77" s="23">
        <v>100</v>
      </c>
    </row>
    <row r="78" spans="4:14" ht="13" x14ac:dyDescent="0.15">
      <c r="D78" s="68"/>
      <c r="E78" s="65"/>
      <c r="F78" s="65"/>
      <c r="G78">
        <v>2</v>
      </c>
      <c r="H78" s="14">
        <v>50</v>
      </c>
      <c r="I78">
        <v>0.31</v>
      </c>
      <c r="J78">
        <v>1.41</v>
      </c>
      <c r="K78" s="14">
        <v>5</v>
      </c>
      <c r="L78" s="14">
        <v>2222.2222219999999</v>
      </c>
      <c r="M78" s="14">
        <v>1.72</v>
      </c>
      <c r="N78" s="24">
        <v>100</v>
      </c>
    </row>
    <row r="79" spans="4:14" ht="13" x14ac:dyDescent="0.15">
      <c r="D79" s="68"/>
      <c r="E79" s="65"/>
      <c r="F79" s="65"/>
      <c r="G79">
        <v>3</v>
      </c>
      <c r="H79" s="14">
        <v>21</v>
      </c>
      <c r="I79" s="14">
        <v>0.1</v>
      </c>
      <c r="J79" s="14">
        <v>0.22</v>
      </c>
      <c r="K79" s="14">
        <v>2</v>
      </c>
      <c r="L79" s="14">
        <v>933.33333330000005</v>
      </c>
      <c r="M79" s="14">
        <v>0.32</v>
      </c>
      <c r="N79" s="24">
        <v>100</v>
      </c>
    </row>
    <row r="80" spans="4:14" ht="13" x14ac:dyDescent="0.15">
      <c r="D80" s="68"/>
      <c r="E80" s="65"/>
      <c r="F80" s="65"/>
      <c r="G80">
        <v>4</v>
      </c>
      <c r="H80" s="14">
        <v>32</v>
      </c>
      <c r="I80" s="14">
        <v>0.12</v>
      </c>
      <c r="J80" s="14">
        <v>0.24</v>
      </c>
      <c r="K80" s="14">
        <v>2</v>
      </c>
      <c r="L80" s="14">
        <v>1422.2222220000001</v>
      </c>
      <c r="M80" s="14">
        <v>0.36</v>
      </c>
      <c r="N80" s="24">
        <v>100</v>
      </c>
    </row>
    <row r="81" spans="4:14" ht="13" x14ac:dyDescent="0.15">
      <c r="D81" s="68"/>
      <c r="E81" s="65"/>
      <c r="F81" s="65"/>
      <c r="G81">
        <v>5</v>
      </c>
      <c r="H81" s="14">
        <v>80</v>
      </c>
      <c r="I81" s="14">
        <v>0.6</v>
      </c>
      <c r="J81" s="14">
        <v>1.03</v>
      </c>
      <c r="L81" s="14">
        <v>3555.5555559999998</v>
      </c>
      <c r="M81" s="14">
        <v>1.63</v>
      </c>
      <c r="N81" s="24">
        <v>100</v>
      </c>
    </row>
    <row r="82" spans="4:14" ht="13" x14ac:dyDescent="0.15">
      <c r="D82" s="68"/>
      <c r="E82" s="65"/>
      <c r="F82" s="65">
        <v>2</v>
      </c>
      <c r="G82">
        <v>1</v>
      </c>
      <c r="H82" s="47">
        <v>0</v>
      </c>
      <c r="I82" s="47">
        <v>0</v>
      </c>
      <c r="J82" s="47">
        <v>0</v>
      </c>
      <c r="K82" s="47">
        <v>0</v>
      </c>
      <c r="L82" s="47">
        <v>0</v>
      </c>
      <c r="M82" s="47">
        <v>0</v>
      </c>
      <c r="N82" s="49">
        <v>100</v>
      </c>
    </row>
    <row r="83" spans="4:14" ht="13" x14ac:dyDescent="0.15">
      <c r="D83" s="68"/>
      <c r="E83" s="65"/>
      <c r="F83" s="65"/>
      <c r="G83">
        <v>2</v>
      </c>
      <c r="H83" s="14">
        <v>253</v>
      </c>
      <c r="I83" s="14">
        <v>0.45</v>
      </c>
      <c r="J83" s="14">
        <v>1.31</v>
      </c>
      <c r="K83" s="14">
        <v>17</v>
      </c>
      <c r="L83" s="14">
        <v>11244.444439999999</v>
      </c>
      <c r="M83" s="14">
        <v>1.76</v>
      </c>
      <c r="N83" s="24">
        <v>100</v>
      </c>
    </row>
    <row r="84" spans="4:14" ht="13" x14ac:dyDescent="0.15">
      <c r="D84" s="68"/>
      <c r="E84" s="65"/>
      <c r="F84" s="65"/>
      <c r="G84">
        <v>3</v>
      </c>
      <c r="H84" s="47">
        <v>0</v>
      </c>
      <c r="I84" s="47">
        <v>0</v>
      </c>
      <c r="J84" s="47">
        <v>0</v>
      </c>
      <c r="K84" s="47">
        <v>0</v>
      </c>
      <c r="L84" s="47">
        <v>0</v>
      </c>
      <c r="M84" s="47">
        <v>0</v>
      </c>
      <c r="N84" s="49">
        <v>100</v>
      </c>
    </row>
    <row r="85" spans="4:14" ht="13" x14ac:dyDescent="0.15">
      <c r="D85" s="68"/>
      <c r="E85" s="65"/>
      <c r="F85" s="65"/>
      <c r="G85">
        <v>4</v>
      </c>
      <c r="H85" s="47">
        <v>0</v>
      </c>
      <c r="I85" s="47">
        <v>0</v>
      </c>
      <c r="J85" s="47">
        <v>0</v>
      </c>
      <c r="K85" s="47">
        <v>0</v>
      </c>
      <c r="L85" s="47">
        <v>0</v>
      </c>
      <c r="M85" s="47">
        <v>0</v>
      </c>
      <c r="N85" s="49">
        <v>100</v>
      </c>
    </row>
    <row r="86" spans="4:14" ht="13" x14ac:dyDescent="0.15">
      <c r="D86" s="68"/>
      <c r="E86" s="65"/>
      <c r="F86" s="65"/>
      <c r="G86">
        <v>5</v>
      </c>
      <c r="H86" s="14">
        <v>24</v>
      </c>
      <c r="I86" s="14">
        <v>0.09</v>
      </c>
      <c r="J86" s="14">
        <v>0.22</v>
      </c>
      <c r="K86" s="14">
        <v>2</v>
      </c>
      <c r="L86" s="14">
        <v>1066.666667</v>
      </c>
      <c r="M86" s="14">
        <v>0.31</v>
      </c>
      <c r="N86" s="24">
        <v>100</v>
      </c>
    </row>
    <row r="87" spans="4:14" ht="13" x14ac:dyDescent="0.15">
      <c r="D87" s="68"/>
      <c r="E87" s="65"/>
      <c r="F87" s="65">
        <v>3</v>
      </c>
      <c r="G87">
        <v>1</v>
      </c>
      <c r="H87" s="14">
        <v>91</v>
      </c>
      <c r="I87" s="14">
        <v>0.49</v>
      </c>
      <c r="J87" s="14">
        <v>1.1299999999999999</v>
      </c>
      <c r="K87" s="14">
        <v>25</v>
      </c>
      <c r="L87" s="14">
        <v>4044.4444440000002</v>
      </c>
      <c r="M87" s="14">
        <v>1.62</v>
      </c>
      <c r="N87" s="24">
        <v>100</v>
      </c>
    </row>
    <row r="88" spans="4:14" ht="13" x14ac:dyDescent="0.15">
      <c r="D88" s="68"/>
      <c r="E88" s="65"/>
      <c r="F88" s="65"/>
      <c r="G88">
        <v>2</v>
      </c>
      <c r="H88" s="14">
        <v>12</v>
      </c>
      <c r="I88" s="14">
        <v>0.12</v>
      </c>
      <c r="J88" s="14">
        <v>0.12</v>
      </c>
      <c r="K88" s="14">
        <v>2</v>
      </c>
      <c r="L88" s="14">
        <v>533.33333330000005</v>
      </c>
      <c r="M88" s="14">
        <v>0.24</v>
      </c>
      <c r="N88" s="24">
        <v>100</v>
      </c>
    </row>
    <row r="89" spans="4:14" ht="13" x14ac:dyDescent="0.15">
      <c r="D89" s="68"/>
      <c r="E89" s="65"/>
      <c r="F89" s="65"/>
      <c r="G89">
        <v>3</v>
      </c>
      <c r="H89" s="14">
        <v>20</v>
      </c>
      <c r="I89" s="14">
        <v>0</v>
      </c>
      <c r="J89" s="14">
        <v>0.09</v>
      </c>
      <c r="K89" s="14">
        <v>2</v>
      </c>
      <c r="L89" s="14">
        <v>888.88888889999998</v>
      </c>
      <c r="M89" s="14">
        <v>0.09</v>
      </c>
      <c r="N89" s="24">
        <v>100</v>
      </c>
    </row>
    <row r="90" spans="4:14" ht="13" x14ac:dyDescent="0.15">
      <c r="D90" s="68"/>
      <c r="E90" s="65"/>
      <c r="F90" s="65"/>
      <c r="G90">
        <v>4</v>
      </c>
      <c r="H90" s="14">
        <v>15</v>
      </c>
      <c r="I90" s="14">
        <v>0.03</v>
      </c>
      <c r="J90" s="14">
        <v>0.08</v>
      </c>
      <c r="K90" s="14">
        <v>2</v>
      </c>
      <c r="L90" s="14">
        <v>666.66666669999995</v>
      </c>
      <c r="M90" s="14">
        <v>0.11</v>
      </c>
      <c r="N90" s="24">
        <v>100</v>
      </c>
    </row>
    <row r="91" spans="4:14" ht="13" x14ac:dyDescent="0.15">
      <c r="D91" s="68"/>
      <c r="E91" s="66"/>
      <c r="F91" s="66"/>
      <c r="G91" s="19">
        <v>5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0</v>
      </c>
      <c r="N91" s="53">
        <v>100</v>
      </c>
    </row>
    <row r="92" spans="4:14" ht="13" x14ac:dyDescent="0.15">
      <c r="D92" s="68"/>
      <c r="E92" s="64">
        <v>5</v>
      </c>
      <c r="F92" s="64">
        <v>1</v>
      </c>
      <c r="G92" s="21">
        <v>1</v>
      </c>
      <c r="H92" s="22">
        <v>187</v>
      </c>
      <c r="I92" s="22">
        <v>0.7</v>
      </c>
      <c r="J92" s="22">
        <v>0.5</v>
      </c>
      <c r="K92" s="22">
        <v>10</v>
      </c>
      <c r="L92" s="22">
        <v>8311</v>
      </c>
      <c r="M92" s="22">
        <v>1.2</v>
      </c>
      <c r="N92" s="23">
        <v>100</v>
      </c>
    </row>
    <row r="93" spans="4:14" ht="13" x14ac:dyDescent="0.15">
      <c r="D93" s="68"/>
      <c r="E93" s="65"/>
      <c r="F93" s="65"/>
      <c r="G93">
        <v>2</v>
      </c>
      <c r="H93" s="14">
        <v>145</v>
      </c>
      <c r="I93">
        <v>0.73</v>
      </c>
      <c r="J93">
        <v>0.68</v>
      </c>
      <c r="K93" s="14">
        <v>5</v>
      </c>
      <c r="L93" s="14">
        <v>6444</v>
      </c>
      <c r="M93" s="14">
        <v>1.41</v>
      </c>
      <c r="N93" s="24">
        <v>100</v>
      </c>
    </row>
    <row r="94" spans="4:14" ht="13" x14ac:dyDescent="0.15">
      <c r="D94" s="68"/>
      <c r="E94" s="65"/>
      <c r="F94" s="65"/>
      <c r="G94">
        <v>3</v>
      </c>
      <c r="H94" s="14">
        <v>202</v>
      </c>
      <c r="I94" s="14">
        <v>0.38</v>
      </c>
      <c r="J94" s="14">
        <v>0.42</v>
      </c>
      <c r="K94" s="14">
        <v>3</v>
      </c>
      <c r="L94" s="14">
        <v>8978</v>
      </c>
      <c r="M94" s="14">
        <v>0.8</v>
      </c>
      <c r="N94" s="24">
        <v>100</v>
      </c>
    </row>
    <row r="95" spans="4:14" ht="13" x14ac:dyDescent="0.15">
      <c r="D95" s="68"/>
      <c r="E95" s="65"/>
      <c r="F95" s="65"/>
      <c r="G95">
        <v>4</v>
      </c>
      <c r="H95" s="14">
        <v>29</v>
      </c>
      <c r="I95" s="14">
        <v>0.16</v>
      </c>
      <c r="J95" s="14">
        <v>0.17</v>
      </c>
      <c r="K95" s="14">
        <v>1</v>
      </c>
      <c r="L95" s="14">
        <v>1289</v>
      </c>
      <c r="M95" s="14">
        <v>0.33</v>
      </c>
      <c r="N95" s="24">
        <v>100</v>
      </c>
    </row>
    <row r="96" spans="4:14" ht="13" x14ac:dyDescent="0.15">
      <c r="D96" s="68"/>
      <c r="E96" s="65"/>
      <c r="F96" s="65"/>
      <c r="G96">
        <v>5</v>
      </c>
      <c r="H96" s="14">
        <v>44</v>
      </c>
      <c r="I96" s="14">
        <v>0.79</v>
      </c>
      <c r="J96" s="14">
        <v>0.23</v>
      </c>
      <c r="K96" s="14">
        <v>1</v>
      </c>
      <c r="L96" s="14">
        <v>1956</v>
      </c>
      <c r="M96" s="14">
        <v>1.02</v>
      </c>
      <c r="N96" s="24">
        <v>100</v>
      </c>
    </row>
    <row r="97" spans="4:14" ht="13" x14ac:dyDescent="0.15">
      <c r="D97" s="68"/>
      <c r="E97" s="65"/>
      <c r="F97" s="65">
        <v>2</v>
      </c>
      <c r="G97">
        <v>1</v>
      </c>
      <c r="H97" s="47">
        <v>0</v>
      </c>
      <c r="I97" s="47">
        <v>0</v>
      </c>
      <c r="J97" s="47">
        <v>0</v>
      </c>
      <c r="K97" s="47">
        <v>0</v>
      </c>
      <c r="L97" s="47">
        <v>0</v>
      </c>
      <c r="M97" s="47">
        <v>0</v>
      </c>
      <c r="N97" s="49">
        <v>100</v>
      </c>
    </row>
    <row r="98" spans="4:14" ht="13" x14ac:dyDescent="0.15">
      <c r="D98" s="68"/>
      <c r="E98" s="65"/>
      <c r="F98" s="65"/>
      <c r="G98">
        <v>2</v>
      </c>
      <c r="H98" s="47">
        <v>0</v>
      </c>
      <c r="I98" s="47">
        <v>0</v>
      </c>
      <c r="J98" s="47">
        <v>0</v>
      </c>
      <c r="K98" s="47">
        <v>0</v>
      </c>
      <c r="L98" s="47">
        <v>0</v>
      </c>
      <c r="M98" s="47">
        <v>0</v>
      </c>
      <c r="N98" s="49">
        <v>100</v>
      </c>
    </row>
    <row r="99" spans="4:14" ht="13" x14ac:dyDescent="0.15">
      <c r="D99" s="68"/>
      <c r="E99" s="65"/>
      <c r="F99" s="65"/>
      <c r="G99">
        <v>3</v>
      </c>
      <c r="H99" s="47">
        <v>0</v>
      </c>
      <c r="I99" s="47">
        <v>0</v>
      </c>
      <c r="J99" s="47">
        <v>0</v>
      </c>
      <c r="K99" s="47">
        <v>0</v>
      </c>
      <c r="L99" s="47">
        <v>0</v>
      </c>
      <c r="M99" s="47">
        <v>0</v>
      </c>
      <c r="N99" s="49">
        <v>100</v>
      </c>
    </row>
    <row r="100" spans="4:14" ht="13" x14ac:dyDescent="0.15">
      <c r="D100" s="68"/>
      <c r="E100" s="65"/>
      <c r="F100" s="65"/>
      <c r="G100">
        <v>4</v>
      </c>
      <c r="H100" s="47">
        <v>0</v>
      </c>
      <c r="I100" s="47">
        <v>0</v>
      </c>
      <c r="J100" s="47">
        <v>0</v>
      </c>
      <c r="K100" s="47">
        <v>0</v>
      </c>
      <c r="L100" s="47">
        <v>0</v>
      </c>
      <c r="M100" s="47">
        <v>0</v>
      </c>
      <c r="N100" s="49">
        <v>100</v>
      </c>
    </row>
    <row r="101" spans="4:14" ht="13" x14ac:dyDescent="0.15">
      <c r="D101" s="68"/>
      <c r="E101" s="65"/>
      <c r="F101" s="65"/>
      <c r="G101">
        <v>5</v>
      </c>
      <c r="H101" s="47">
        <v>0</v>
      </c>
      <c r="I101" s="47">
        <v>0</v>
      </c>
      <c r="J101" s="47">
        <v>0</v>
      </c>
      <c r="K101" s="47">
        <v>0</v>
      </c>
      <c r="L101" s="47">
        <v>0</v>
      </c>
      <c r="M101" s="47">
        <v>0</v>
      </c>
      <c r="N101" s="49">
        <v>100</v>
      </c>
    </row>
    <row r="102" spans="4:14" ht="13" x14ac:dyDescent="0.15">
      <c r="D102" s="68"/>
      <c r="E102" s="65"/>
      <c r="F102" s="65">
        <v>3</v>
      </c>
      <c r="G102">
        <v>1</v>
      </c>
      <c r="H102" s="14">
        <v>16</v>
      </c>
      <c r="I102" s="14">
        <v>0.14000000000000001</v>
      </c>
      <c r="J102" s="14">
        <v>0.55000000000000004</v>
      </c>
      <c r="K102" s="14">
        <v>1</v>
      </c>
      <c r="L102" s="14">
        <v>711</v>
      </c>
      <c r="M102" s="14">
        <v>0.69</v>
      </c>
      <c r="N102" s="24">
        <v>100</v>
      </c>
    </row>
    <row r="103" spans="4:14" ht="13" x14ac:dyDescent="0.15">
      <c r="D103" s="68"/>
      <c r="E103" s="65"/>
      <c r="F103" s="65"/>
      <c r="G103">
        <v>2</v>
      </c>
      <c r="H103" s="14">
        <v>32</v>
      </c>
      <c r="I103" s="47">
        <v>0</v>
      </c>
      <c r="J103" s="47">
        <v>0</v>
      </c>
      <c r="K103" s="47">
        <v>0</v>
      </c>
      <c r="L103" s="14">
        <v>1422</v>
      </c>
      <c r="M103" s="47">
        <v>0</v>
      </c>
      <c r="N103" s="24">
        <v>100</v>
      </c>
    </row>
    <row r="104" spans="4:14" ht="13" x14ac:dyDescent="0.15">
      <c r="D104" s="68"/>
      <c r="E104" s="65"/>
      <c r="F104" s="65"/>
      <c r="G104">
        <v>3</v>
      </c>
      <c r="H104" s="14">
        <v>63</v>
      </c>
      <c r="I104" s="14">
        <v>7.0000000000000007E-2</v>
      </c>
      <c r="J104" s="14">
        <v>0</v>
      </c>
      <c r="K104" s="14">
        <v>4</v>
      </c>
      <c r="L104" s="14">
        <v>2800</v>
      </c>
      <c r="M104" s="14">
        <v>7.0000000000000007E-2</v>
      </c>
      <c r="N104" s="24">
        <v>100</v>
      </c>
    </row>
    <row r="105" spans="4:14" ht="13" x14ac:dyDescent="0.15">
      <c r="D105" s="68"/>
      <c r="E105" s="65"/>
      <c r="F105" s="65"/>
      <c r="G105">
        <v>4</v>
      </c>
      <c r="H105" s="14">
        <v>44</v>
      </c>
      <c r="I105" s="14">
        <v>0.27</v>
      </c>
      <c r="J105" s="14">
        <v>0.21</v>
      </c>
      <c r="K105" s="14">
        <v>6</v>
      </c>
      <c r="L105" s="14">
        <v>1956</v>
      </c>
      <c r="M105" s="14">
        <v>0.48</v>
      </c>
      <c r="N105" s="24">
        <v>100</v>
      </c>
    </row>
    <row r="106" spans="4:14" ht="13" x14ac:dyDescent="0.15">
      <c r="D106" s="68"/>
      <c r="E106" s="66"/>
      <c r="F106" s="66"/>
      <c r="G106" s="19">
        <v>5</v>
      </c>
      <c r="H106" s="20">
        <v>52</v>
      </c>
      <c r="I106" s="20">
        <v>0.28000000000000003</v>
      </c>
      <c r="J106" s="20">
        <v>0.33</v>
      </c>
      <c r="K106" s="20">
        <v>0</v>
      </c>
      <c r="L106" s="20">
        <v>2311</v>
      </c>
      <c r="M106" s="20">
        <v>0.61</v>
      </c>
      <c r="N106" s="25">
        <v>100</v>
      </c>
    </row>
    <row r="107" spans="4:14" ht="13" x14ac:dyDescent="0.15">
      <c r="D107" s="68"/>
      <c r="E107" s="64">
        <v>6</v>
      </c>
      <c r="F107" s="64">
        <v>1</v>
      </c>
      <c r="G107" s="21">
        <v>1</v>
      </c>
      <c r="H107" s="14">
        <v>68</v>
      </c>
      <c r="I107" s="14">
        <v>0.28000000000000003</v>
      </c>
      <c r="J107" s="14">
        <v>0.26</v>
      </c>
      <c r="K107" s="14">
        <v>5</v>
      </c>
      <c r="L107" s="14">
        <v>3022.2222219999999</v>
      </c>
      <c r="M107" s="14">
        <v>0.54</v>
      </c>
      <c r="N107" s="14">
        <v>100</v>
      </c>
    </row>
    <row r="108" spans="4:14" ht="13" x14ac:dyDescent="0.15">
      <c r="D108" s="68"/>
      <c r="E108" s="65"/>
      <c r="F108" s="65"/>
      <c r="G108">
        <v>2</v>
      </c>
      <c r="H108" s="14">
        <v>39</v>
      </c>
      <c r="I108" s="8">
        <v>0.21</v>
      </c>
      <c r="J108" s="8">
        <v>0.24</v>
      </c>
      <c r="K108" s="14">
        <v>5</v>
      </c>
      <c r="L108" s="14">
        <v>1733.333333</v>
      </c>
      <c r="M108" s="14">
        <v>0.45</v>
      </c>
      <c r="N108" s="14">
        <v>100</v>
      </c>
    </row>
    <row r="109" spans="4:14" ht="13" x14ac:dyDescent="0.15">
      <c r="D109" s="68"/>
      <c r="E109" s="65"/>
      <c r="F109" s="65"/>
      <c r="G109">
        <v>3</v>
      </c>
      <c r="H109" s="17">
        <v>185</v>
      </c>
      <c r="I109" s="17">
        <v>0.6</v>
      </c>
      <c r="J109" s="17">
        <v>1.5</v>
      </c>
      <c r="K109" s="14">
        <v>17</v>
      </c>
      <c r="L109" s="14">
        <v>41111.111109999998</v>
      </c>
      <c r="M109" s="17">
        <v>2.1</v>
      </c>
      <c r="N109" s="17">
        <v>20</v>
      </c>
    </row>
    <row r="110" spans="4:14" ht="13" x14ac:dyDescent="0.15">
      <c r="D110" s="68"/>
      <c r="E110" s="65"/>
      <c r="F110" s="65"/>
      <c r="G110">
        <v>4</v>
      </c>
      <c r="H110" s="58"/>
      <c r="I110" s="58"/>
      <c r="J110" s="58"/>
      <c r="K110" s="59"/>
      <c r="L110" s="59"/>
      <c r="M110" s="58"/>
      <c r="N110" s="58"/>
    </row>
    <row r="111" spans="4:14" ht="13" x14ac:dyDescent="0.15">
      <c r="D111" s="68"/>
      <c r="E111" s="65"/>
      <c r="F111" s="65"/>
      <c r="G111">
        <v>5</v>
      </c>
      <c r="H111" s="14">
        <v>85</v>
      </c>
      <c r="I111" s="14">
        <v>0.24</v>
      </c>
      <c r="J111" s="14">
        <v>0.23</v>
      </c>
      <c r="K111" s="14">
        <v>7</v>
      </c>
      <c r="L111" s="14">
        <v>3777.7777780000001</v>
      </c>
      <c r="M111" s="14">
        <v>0.47</v>
      </c>
      <c r="N111" s="14">
        <v>100</v>
      </c>
    </row>
    <row r="112" spans="4:14" ht="13" x14ac:dyDescent="0.15">
      <c r="D112" s="68"/>
      <c r="E112" s="65"/>
      <c r="F112" s="65">
        <v>2</v>
      </c>
      <c r="G112">
        <v>1</v>
      </c>
      <c r="H112" s="17">
        <v>180</v>
      </c>
      <c r="I112" s="17">
        <v>1.5</v>
      </c>
      <c r="J112" s="17">
        <v>1.6</v>
      </c>
      <c r="K112" s="14">
        <v>5</v>
      </c>
      <c r="L112" s="17">
        <v>80000</v>
      </c>
      <c r="M112" s="17">
        <v>3.1</v>
      </c>
      <c r="N112" s="17">
        <v>10</v>
      </c>
    </row>
    <row r="113" spans="4:14" ht="13" x14ac:dyDescent="0.15">
      <c r="D113" s="68"/>
      <c r="E113" s="65"/>
      <c r="F113" s="65"/>
      <c r="G113">
        <v>2</v>
      </c>
      <c r="H113" s="17">
        <v>98.588709679999994</v>
      </c>
      <c r="I113" s="17">
        <v>1.577419355</v>
      </c>
      <c r="J113" s="17">
        <v>0.55209677420000003</v>
      </c>
      <c r="K113" s="14">
        <v>5</v>
      </c>
      <c r="L113" s="14">
        <v>17279.526539999999</v>
      </c>
      <c r="M113" s="14">
        <v>2.1295161290000002</v>
      </c>
      <c r="N113" s="14">
        <v>25.357873210000001</v>
      </c>
    </row>
    <row r="114" spans="4:14" ht="13" x14ac:dyDescent="0.15">
      <c r="D114" s="68"/>
      <c r="E114" s="65"/>
      <c r="F114" s="65"/>
      <c r="G114">
        <v>3</v>
      </c>
      <c r="H114" s="14">
        <v>164</v>
      </c>
      <c r="I114" s="14">
        <v>1.02</v>
      </c>
      <c r="J114" s="14">
        <v>0.95</v>
      </c>
      <c r="K114" s="14">
        <v>25</v>
      </c>
      <c r="L114" s="14">
        <v>7288.8888889999998</v>
      </c>
      <c r="M114" s="14">
        <v>1.97</v>
      </c>
      <c r="N114" s="14">
        <v>100</v>
      </c>
    </row>
    <row r="115" spans="4:14" ht="13" x14ac:dyDescent="0.15">
      <c r="D115" s="68"/>
      <c r="E115" s="65"/>
      <c r="F115" s="65"/>
      <c r="G115">
        <v>4</v>
      </c>
      <c r="H115" s="17">
        <v>112.3736842</v>
      </c>
      <c r="I115" s="17">
        <v>2.1793684209999999</v>
      </c>
      <c r="J115" s="17">
        <v>1.6345263160000001</v>
      </c>
      <c r="K115" s="14">
        <v>5</v>
      </c>
      <c r="L115" s="17">
        <v>17007.198520000002</v>
      </c>
      <c r="M115" s="17">
        <v>3.813894737</v>
      </c>
      <c r="N115" s="14">
        <v>29.366306030000001</v>
      </c>
    </row>
    <row r="116" spans="4:14" ht="13" x14ac:dyDescent="0.15">
      <c r="D116" s="68"/>
      <c r="E116" s="65"/>
      <c r="F116" s="65"/>
      <c r="G116">
        <v>5</v>
      </c>
      <c r="H116" s="17">
        <v>92.817021280000006</v>
      </c>
      <c r="I116" s="17">
        <v>0.95259574469999997</v>
      </c>
      <c r="J116" s="17">
        <v>1.538808511</v>
      </c>
      <c r="K116" s="14">
        <v>17</v>
      </c>
      <c r="L116" s="17">
        <v>10076.02274</v>
      </c>
      <c r="M116" s="17">
        <v>2.491404255</v>
      </c>
      <c r="N116" s="14">
        <v>40.940766549999999</v>
      </c>
    </row>
    <row r="117" spans="4:14" ht="13" x14ac:dyDescent="0.15">
      <c r="D117" s="68"/>
      <c r="E117" s="65"/>
      <c r="F117" s="65">
        <v>3</v>
      </c>
      <c r="G117">
        <v>1</v>
      </c>
      <c r="H117" s="17">
        <v>179.90967739999999</v>
      </c>
      <c r="I117" s="17">
        <v>1.528</v>
      </c>
      <c r="J117" s="17">
        <v>1.0350967740000001</v>
      </c>
      <c r="K117" s="14">
        <v>5</v>
      </c>
      <c r="L117" s="17">
        <v>19706.235629999999</v>
      </c>
      <c r="M117" s="17">
        <v>2.5630967739999999</v>
      </c>
      <c r="N117" s="14">
        <v>40.575916229999997</v>
      </c>
    </row>
    <row r="118" spans="4:14" ht="13" x14ac:dyDescent="0.15">
      <c r="D118" s="68"/>
      <c r="E118" s="65"/>
      <c r="F118" s="65"/>
      <c r="G118">
        <v>2</v>
      </c>
      <c r="H118" s="15"/>
      <c r="I118" s="15"/>
      <c r="J118" s="15"/>
      <c r="K118" s="15"/>
      <c r="L118" s="15"/>
      <c r="M118" s="15"/>
      <c r="N118" s="29"/>
    </row>
    <row r="119" spans="4:14" ht="13" x14ac:dyDescent="0.15">
      <c r="D119" s="68"/>
      <c r="E119" s="65"/>
      <c r="F119" s="65"/>
      <c r="G119">
        <v>3</v>
      </c>
      <c r="H119" s="15"/>
      <c r="I119" s="15"/>
      <c r="J119" s="15"/>
      <c r="K119" s="15"/>
      <c r="L119" s="15"/>
      <c r="M119" s="15"/>
      <c r="N119" s="29"/>
    </row>
    <row r="120" spans="4:14" ht="13" x14ac:dyDescent="0.15">
      <c r="D120" s="68"/>
      <c r="E120" s="65"/>
      <c r="F120" s="65"/>
      <c r="G120">
        <v>4</v>
      </c>
      <c r="H120" s="15"/>
      <c r="I120" s="15"/>
      <c r="J120" s="15"/>
      <c r="K120" s="15"/>
      <c r="L120" s="15"/>
      <c r="M120" s="15"/>
      <c r="N120" s="29"/>
    </row>
    <row r="121" spans="4:14" ht="13" x14ac:dyDescent="0.15">
      <c r="D121" s="69"/>
      <c r="E121" s="66"/>
      <c r="F121" s="66"/>
      <c r="G121" s="19">
        <v>5</v>
      </c>
      <c r="H121" s="56"/>
      <c r="I121" s="56"/>
      <c r="J121" s="56"/>
      <c r="K121" s="56"/>
      <c r="L121" s="56"/>
      <c r="M121" s="56"/>
      <c r="N121" s="57"/>
    </row>
    <row r="122" spans="4:14" ht="13" x14ac:dyDescent="0.15">
      <c r="D122" s="76" t="s">
        <v>51</v>
      </c>
      <c r="E122" s="64">
        <v>9</v>
      </c>
      <c r="F122" s="64">
        <v>1</v>
      </c>
      <c r="G122" s="21">
        <v>1</v>
      </c>
      <c r="H122" s="27"/>
      <c r="I122" s="27"/>
      <c r="J122" s="27"/>
      <c r="K122" s="27"/>
      <c r="L122" s="27"/>
      <c r="M122" s="27"/>
      <c r="N122" s="28"/>
    </row>
    <row r="123" spans="4:14" ht="13" x14ac:dyDescent="0.15">
      <c r="D123" s="68"/>
      <c r="E123" s="65"/>
      <c r="F123" s="65"/>
      <c r="G123">
        <v>2</v>
      </c>
      <c r="H123" s="17">
        <f>50/N123*100</f>
        <v>1134.1176470449473</v>
      </c>
      <c r="I123" s="12">
        <f>0.37/N123*100</f>
        <v>8.3924705881326105</v>
      </c>
      <c r="J123" s="12">
        <f>0.48/N123*100</f>
        <v>10.887529411631492</v>
      </c>
      <c r="K123" s="14">
        <v>60</v>
      </c>
      <c r="L123" s="17">
        <v>50405.228759999998</v>
      </c>
      <c r="M123" s="17">
        <v>19.28</v>
      </c>
      <c r="N123" s="30">
        <v>4.4087136930000002</v>
      </c>
    </row>
    <row r="124" spans="4:14" ht="13" x14ac:dyDescent="0.15">
      <c r="D124" s="68"/>
      <c r="E124" s="65"/>
      <c r="F124" s="65"/>
      <c r="G124">
        <v>3</v>
      </c>
      <c r="H124" s="15"/>
      <c r="I124" s="15"/>
      <c r="J124" s="15"/>
      <c r="K124" s="15"/>
      <c r="L124" s="16">
        <v>0</v>
      </c>
      <c r="M124" s="15"/>
      <c r="N124" s="29"/>
    </row>
    <row r="125" spans="4:14" ht="13" x14ac:dyDescent="0.15">
      <c r="D125" s="68"/>
      <c r="E125" s="65"/>
      <c r="F125" s="65"/>
      <c r="G125">
        <v>4</v>
      </c>
      <c r="H125" s="14">
        <v>1461</v>
      </c>
      <c r="I125" s="14">
        <v>1.39</v>
      </c>
      <c r="J125" s="14">
        <v>4.32</v>
      </c>
      <c r="K125" s="14">
        <v>12</v>
      </c>
      <c r="L125" s="14">
        <v>64933.333330000001</v>
      </c>
      <c r="M125" s="14">
        <v>5.71</v>
      </c>
      <c r="N125" s="24">
        <v>100</v>
      </c>
    </row>
    <row r="126" spans="4:14" ht="13" x14ac:dyDescent="0.15">
      <c r="D126" s="68"/>
      <c r="E126" s="65"/>
      <c r="F126" s="65"/>
      <c r="G126">
        <v>5</v>
      </c>
      <c r="H126" s="17">
        <f>41/N126*100</f>
        <v>761.82432429858704</v>
      </c>
      <c r="I126" s="17">
        <f>0.36/N126*100</f>
        <v>6.6891891889632031</v>
      </c>
      <c r="J126" s="17">
        <f>0.38/N126*100</f>
        <v>7.0608108105722698</v>
      </c>
      <c r="K126" s="14">
        <v>25</v>
      </c>
      <c r="L126" s="17">
        <v>33858.85886</v>
      </c>
      <c r="M126" s="17">
        <v>13.75</v>
      </c>
      <c r="N126" s="30">
        <v>5.381818182</v>
      </c>
    </row>
    <row r="127" spans="4:14" ht="13" x14ac:dyDescent="0.15">
      <c r="D127" s="68"/>
      <c r="E127" s="65"/>
      <c r="F127" s="65">
        <v>2</v>
      </c>
      <c r="G127">
        <v>1</v>
      </c>
      <c r="H127" s="17">
        <f>37/N127*100</f>
        <v>708.99999993331562</v>
      </c>
      <c r="I127" s="17">
        <f>0.27/N127*100</f>
        <v>5.1737837832971687</v>
      </c>
      <c r="J127" s="17">
        <f>0.1/N127*100</f>
        <v>1.9162162160359886</v>
      </c>
      <c r="K127" s="14">
        <v>17</v>
      </c>
      <c r="L127" s="17">
        <v>31511.111110000002</v>
      </c>
      <c r="M127" s="17">
        <v>7.09</v>
      </c>
      <c r="N127" s="30">
        <v>5.218617772</v>
      </c>
    </row>
    <row r="128" spans="4:14" ht="13" x14ac:dyDescent="0.15">
      <c r="D128" s="68"/>
      <c r="E128" s="65"/>
      <c r="F128" s="65"/>
      <c r="G128">
        <v>2</v>
      </c>
      <c r="H128" s="17">
        <f>121/N128*100</f>
        <v>1056.7685589519651</v>
      </c>
      <c r="I128" s="17">
        <f>0.72/N128*100</f>
        <v>6.2882096069869</v>
      </c>
      <c r="J128" s="17">
        <f>0.19/N128*100</f>
        <v>1.6593886462882095</v>
      </c>
      <c r="K128" s="14">
        <v>20</v>
      </c>
      <c r="L128" s="17">
        <v>46981.684979999998</v>
      </c>
      <c r="M128" s="17">
        <v>7.95</v>
      </c>
      <c r="N128" s="30">
        <v>11.45</v>
      </c>
    </row>
    <row r="129" spans="4:14" ht="13" x14ac:dyDescent="0.15">
      <c r="D129" s="68"/>
      <c r="E129" s="65"/>
      <c r="F129" s="65"/>
      <c r="G129">
        <v>3</v>
      </c>
      <c r="H129" s="17">
        <f>21/N129*100</f>
        <v>355.93220338983048</v>
      </c>
      <c r="I129" s="17">
        <f>0.16/N129*100</f>
        <v>2.7118644067796609</v>
      </c>
      <c r="J129" s="17">
        <f>0.06/N129*100</f>
        <v>1.0169491525423728</v>
      </c>
      <c r="K129" s="14">
        <v>7</v>
      </c>
      <c r="L129" s="17">
        <v>15824.24242</v>
      </c>
      <c r="M129" s="17">
        <v>3.73</v>
      </c>
      <c r="N129" s="30">
        <v>5.9</v>
      </c>
    </row>
    <row r="130" spans="4:14" ht="13" x14ac:dyDescent="0.15">
      <c r="D130" s="68"/>
      <c r="E130" s="65"/>
      <c r="F130" s="65"/>
      <c r="G130">
        <v>4</v>
      </c>
      <c r="H130" s="14">
        <v>382</v>
      </c>
      <c r="I130" s="14">
        <v>0.18</v>
      </c>
      <c r="J130" s="14">
        <v>0.55000000000000004</v>
      </c>
      <c r="K130" s="14">
        <v>2</v>
      </c>
      <c r="L130" s="14">
        <v>16977.77778</v>
      </c>
      <c r="M130" s="14">
        <v>0.73</v>
      </c>
      <c r="N130" s="24">
        <v>100</v>
      </c>
    </row>
    <row r="131" spans="4:14" ht="13" x14ac:dyDescent="0.15">
      <c r="D131" s="68"/>
      <c r="E131" s="65"/>
      <c r="F131" s="65"/>
      <c r="G131">
        <v>5</v>
      </c>
      <c r="H131" s="17">
        <f>30/N131*100</f>
        <v>501.00000000801606</v>
      </c>
      <c r="I131" s="17">
        <f>0.32/N131*100</f>
        <v>5.3440000000855044</v>
      </c>
      <c r="J131" s="17">
        <f>0.08/N131*100</f>
        <v>1.3360000000213761</v>
      </c>
      <c r="K131" s="14">
        <v>17</v>
      </c>
      <c r="L131" s="17">
        <v>22266.666669999999</v>
      </c>
      <c r="M131" s="17">
        <v>6.68</v>
      </c>
      <c r="N131" s="30">
        <v>5.9880239519999998</v>
      </c>
    </row>
    <row r="132" spans="4:14" ht="12.75" customHeight="1" x14ac:dyDescent="0.15">
      <c r="D132" s="68"/>
      <c r="E132" s="65"/>
      <c r="F132" s="65">
        <v>3</v>
      </c>
      <c r="G132">
        <v>1</v>
      </c>
      <c r="H132" s="17">
        <f>8/N132*100</f>
        <v>186.28571426868245</v>
      </c>
      <c r="I132" s="12">
        <f>0.1/N132*100</f>
        <v>2.3285714283585306</v>
      </c>
      <c r="J132" s="17">
        <f>0.07/N132*100</f>
        <v>1.6299999998509715</v>
      </c>
      <c r="K132" s="14">
        <v>5</v>
      </c>
      <c r="L132" s="17">
        <v>8279.3650789999992</v>
      </c>
      <c r="M132" s="17">
        <v>1.63</v>
      </c>
      <c r="N132" s="30">
        <v>4.294478528</v>
      </c>
    </row>
    <row r="133" spans="4:14" ht="12.75" customHeight="1" x14ac:dyDescent="0.15">
      <c r="D133" s="68"/>
      <c r="E133" s="65"/>
      <c r="F133" s="65"/>
      <c r="G133">
        <v>2</v>
      </c>
      <c r="H133" s="14">
        <v>390</v>
      </c>
      <c r="I133" s="14">
        <v>0.75</v>
      </c>
      <c r="J133" s="14">
        <v>0.31</v>
      </c>
      <c r="K133" s="14">
        <v>5</v>
      </c>
      <c r="L133" s="14">
        <v>17333.333330000001</v>
      </c>
      <c r="M133" s="14">
        <v>1.06</v>
      </c>
      <c r="N133" s="24">
        <v>100</v>
      </c>
    </row>
    <row r="134" spans="4:14" ht="12.75" customHeight="1" x14ac:dyDescent="0.15">
      <c r="D134" s="68"/>
      <c r="E134" s="65"/>
      <c r="F134" s="65"/>
      <c r="G134">
        <v>3</v>
      </c>
      <c r="H134" s="14">
        <v>37</v>
      </c>
      <c r="I134" s="14">
        <v>0.04</v>
      </c>
      <c r="J134" s="14">
        <v>0.04</v>
      </c>
      <c r="K134" s="14">
        <v>1</v>
      </c>
      <c r="L134" s="14">
        <v>1644.444444</v>
      </c>
      <c r="M134" s="14">
        <v>0.08</v>
      </c>
      <c r="N134" s="24">
        <v>100</v>
      </c>
    </row>
    <row r="135" spans="4:14" ht="12.75" customHeight="1" x14ac:dyDescent="0.15">
      <c r="D135" s="68"/>
      <c r="E135" s="65"/>
      <c r="F135" s="65"/>
      <c r="G135">
        <v>4</v>
      </c>
      <c r="H135" s="17">
        <f>52/N135*100</f>
        <v>1178.6666666352357</v>
      </c>
      <c r="I135" s="17">
        <f>0.3/N135*100</f>
        <v>6.7999999998186667</v>
      </c>
      <c r="J135" s="17">
        <v>0</v>
      </c>
      <c r="K135" s="14">
        <v>17</v>
      </c>
      <c r="L135" s="17">
        <v>52385.185189999997</v>
      </c>
      <c r="M135" s="17">
        <v>6.8</v>
      </c>
      <c r="N135" s="30">
        <v>4.4117647059999996</v>
      </c>
    </row>
    <row r="136" spans="4:14" ht="12.75" customHeight="1" x14ac:dyDescent="0.15">
      <c r="D136" s="68"/>
      <c r="E136" s="66"/>
      <c r="F136" s="66"/>
      <c r="G136" s="19">
        <v>5</v>
      </c>
      <c r="H136" s="34">
        <f>36/N136*100</f>
        <v>682.75862065434001</v>
      </c>
      <c r="I136" s="34">
        <f>0.24/N136*100</f>
        <v>4.5517241376955999</v>
      </c>
      <c r="J136" s="34">
        <f>0.05/N136*100</f>
        <v>0.94827586201991676</v>
      </c>
      <c r="K136" s="20">
        <v>12</v>
      </c>
      <c r="L136" s="34">
        <v>30344.827590000001</v>
      </c>
      <c r="M136" s="34">
        <v>5.5</v>
      </c>
      <c r="N136" s="35">
        <v>5.2727272730000001</v>
      </c>
    </row>
    <row r="137" spans="4:14" ht="12.75" customHeight="1" x14ac:dyDescent="0.15">
      <c r="D137" s="68"/>
      <c r="E137" s="65">
        <v>10</v>
      </c>
      <c r="F137" s="65">
        <v>1</v>
      </c>
      <c r="G137">
        <v>1</v>
      </c>
      <c r="H137" s="15"/>
      <c r="I137" s="15"/>
      <c r="J137" s="15"/>
      <c r="K137" s="14">
        <v>25</v>
      </c>
      <c r="N137" s="31"/>
    </row>
    <row r="138" spans="4:14" ht="12.75" customHeight="1" x14ac:dyDescent="0.15">
      <c r="D138" s="68"/>
      <c r="E138" s="65"/>
      <c r="F138" s="65"/>
      <c r="G138">
        <v>2</v>
      </c>
      <c r="H138" s="15"/>
      <c r="I138" s="15"/>
      <c r="J138" s="15"/>
      <c r="K138" s="14">
        <v>17</v>
      </c>
      <c r="N138" s="31"/>
    </row>
    <row r="139" spans="4:14" ht="12.75" customHeight="1" x14ac:dyDescent="0.15">
      <c r="D139" s="68"/>
      <c r="E139" s="65"/>
      <c r="F139" s="65"/>
      <c r="G139">
        <v>3</v>
      </c>
      <c r="H139" s="18">
        <v>652</v>
      </c>
      <c r="I139" s="18">
        <v>1.4</v>
      </c>
      <c r="J139" s="18">
        <v>5.34</v>
      </c>
      <c r="K139" s="14">
        <v>38</v>
      </c>
      <c r="L139" s="18">
        <v>28977.77778</v>
      </c>
      <c r="M139" s="18">
        <v>6.74</v>
      </c>
      <c r="N139" s="32">
        <v>100</v>
      </c>
    </row>
    <row r="140" spans="4:14" ht="12.75" customHeight="1" x14ac:dyDescent="0.15">
      <c r="D140" s="68"/>
      <c r="E140" s="65"/>
      <c r="F140" s="65"/>
      <c r="G140">
        <v>4</v>
      </c>
      <c r="H140" s="15"/>
      <c r="I140" s="15"/>
      <c r="J140" s="15"/>
      <c r="K140" s="14">
        <v>17</v>
      </c>
      <c r="L140" s="14"/>
      <c r="N140" s="31"/>
    </row>
    <row r="141" spans="4:14" ht="12.75" customHeight="1" x14ac:dyDescent="0.15">
      <c r="D141" s="68"/>
      <c r="E141" s="65"/>
      <c r="F141" s="65"/>
      <c r="G141">
        <v>5</v>
      </c>
      <c r="H141" s="18">
        <v>708</v>
      </c>
      <c r="I141" s="18">
        <v>0.91</v>
      </c>
      <c r="J141" s="18">
        <v>4.1399999999999997</v>
      </c>
      <c r="K141" s="14">
        <v>7</v>
      </c>
      <c r="L141" s="18">
        <v>31466.666669999999</v>
      </c>
      <c r="M141" s="18">
        <v>5.05</v>
      </c>
      <c r="N141" s="32">
        <v>100</v>
      </c>
    </row>
    <row r="142" spans="4:14" ht="12.75" customHeight="1" x14ac:dyDescent="0.15">
      <c r="D142" s="68"/>
      <c r="E142" s="65"/>
      <c r="F142" s="65">
        <v>2</v>
      </c>
      <c r="G142">
        <v>1</v>
      </c>
      <c r="H142" s="18">
        <v>1341</v>
      </c>
      <c r="I142" s="18">
        <v>1.02</v>
      </c>
      <c r="J142" s="18">
        <v>5.56</v>
      </c>
      <c r="K142" s="14">
        <v>38</v>
      </c>
      <c r="L142" s="18">
        <v>59600</v>
      </c>
      <c r="M142" s="18">
        <v>6.58</v>
      </c>
      <c r="N142" s="32">
        <v>100</v>
      </c>
    </row>
    <row r="143" spans="4:14" ht="12.75" customHeight="1" x14ac:dyDescent="0.15">
      <c r="D143" s="68"/>
      <c r="E143" s="65"/>
      <c r="F143" s="65"/>
      <c r="G143">
        <v>2</v>
      </c>
      <c r="H143" s="15"/>
      <c r="I143" s="15"/>
      <c r="J143" s="15"/>
      <c r="K143" s="14">
        <v>17</v>
      </c>
      <c r="L143" s="14"/>
      <c r="N143" s="31"/>
    </row>
    <row r="144" spans="4:14" ht="12.75" customHeight="1" x14ac:dyDescent="0.15">
      <c r="D144" s="68"/>
      <c r="E144" s="65"/>
      <c r="F144" s="65"/>
      <c r="G144">
        <v>3</v>
      </c>
      <c r="H144" s="18">
        <v>978</v>
      </c>
      <c r="I144" s="18">
        <v>1.1100000000000001</v>
      </c>
      <c r="J144" s="18">
        <v>6.99</v>
      </c>
      <c r="K144" s="14">
        <v>25</v>
      </c>
      <c r="L144" s="18">
        <v>43466.666669999999</v>
      </c>
      <c r="M144" s="18">
        <v>8.1</v>
      </c>
      <c r="N144" s="32">
        <v>100</v>
      </c>
    </row>
    <row r="145" spans="4:14" ht="12.75" customHeight="1" x14ac:dyDescent="0.15">
      <c r="D145" s="68"/>
      <c r="E145" s="65"/>
      <c r="F145" s="65"/>
      <c r="G145">
        <v>4</v>
      </c>
      <c r="H145" s="15"/>
      <c r="I145" s="15"/>
      <c r="J145" s="15"/>
      <c r="K145" s="14">
        <v>17</v>
      </c>
      <c r="L145" s="16"/>
      <c r="M145" s="15"/>
      <c r="N145" s="29"/>
    </row>
    <row r="146" spans="4:14" ht="12.75" customHeight="1" x14ac:dyDescent="0.15">
      <c r="D146" s="68"/>
      <c r="E146" s="65"/>
      <c r="F146" s="65"/>
      <c r="G146">
        <v>5</v>
      </c>
      <c r="H146" s="15"/>
      <c r="I146" s="15"/>
      <c r="J146" s="15"/>
      <c r="K146" s="14">
        <v>25</v>
      </c>
      <c r="L146" s="16"/>
      <c r="M146" s="15"/>
      <c r="N146" s="29"/>
    </row>
    <row r="147" spans="4:14" ht="12.75" customHeight="1" x14ac:dyDescent="0.15">
      <c r="D147" s="68"/>
      <c r="E147" s="65"/>
      <c r="F147" s="65">
        <v>3</v>
      </c>
      <c r="G147">
        <v>1</v>
      </c>
      <c r="H147" s="15"/>
      <c r="I147" s="15"/>
      <c r="J147" s="15"/>
      <c r="K147" s="14">
        <v>17</v>
      </c>
      <c r="L147" s="16"/>
      <c r="M147" s="15"/>
      <c r="N147" s="29"/>
    </row>
    <row r="148" spans="4:14" ht="12.75" customHeight="1" x14ac:dyDescent="0.15">
      <c r="D148" s="68"/>
      <c r="E148" s="65"/>
      <c r="F148" s="65"/>
      <c r="G148">
        <v>2</v>
      </c>
      <c r="H148" s="15"/>
      <c r="I148" s="15"/>
      <c r="J148" s="15"/>
      <c r="K148" s="14">
        <v>25</v>
      </c>
      <c r="L148" s="16"/>
      <c r="M148" s="15"/>
      <c r="N148" s="29"/>
    </row>
    <row r="149" spans="4:14" ht="12.75" customHeight="1" x14ac:dyDescent="0.15">
      <c r="D149" s="68"/>
      <c r="E149" s="65"/>
      <c r="F149" s="65"/>
      <c r="G149">
        <v>3</v>
      </c>
      <c r="H149" s="14">
        <v>581</v>
      </c>
      <c r="I149" s="17">
        <f>0.18/N149*100</f>
        <v>0.85714285714285721</v>
      </c>
      <c r="J149" s="17">
        <f>1.19/N149*100</f>
        <v>5.6666666666666661</v>
      </c>
      <c r="K149" s="14">
        <v>17</v>
      </c>
      <c r="L149" s="14">
        <v>25822.22222</v>
      </c>
      <c r="M149" s="17">
        <f>J149+I149</f>
        <v>6.5238095238095237</v>
      </c>
      <c r="N149" s="30">
        <v>21</v>
      </c>
    </row>
    <row r="150" spans="4:14" ht="12.75" customHeight="1" x14ac:dyDescent="0.15">
      <c r="D150" s="68"/>
      <c r="E150" s="65"/>
      <c r="F150" s="65"/>
      <c r="G150">
        <v>4</v>
      </c>
      <c r="H150" s="15"/>
      <c r="I150" s="15"/>
      <c r="J150" s="15"/>
      <c r="K150" s="14">
        <v>12</v>
      </c>
      <c r="L150" s="14"/>
      <c r="N150" s="31"/>
    </row>
    <row r="151" spans="4:14" ht="12.75" customHeight="1" x14ac:dyDescent="0.15">
      <c r="D151" s="69"/>
      <c r="E151" s="66"/>
      <c r="F151" s="66"/>
      <c r="G151" s="19">
        <v>5</v>
      </c>
      <c r="H151" s="26">
        <v>279</v>
      </c>
      <c r="I151" s="26">
        <v>0.48</v>
      </c>
      <c r="J151" s="26">
        <v>1.0900000000000001</v>
      </c>
      <c r="K151" s="20">
        <v>45</v>
      </c>
      <c r="L151" s="26">
        <v>12400</v>
      </c>
      <c r="M151" s="26">
        <v>1.57</v>
      </c>
      <c r="N151" s="33">
        <v>100</v>
      </c>
    </row>
    <row r="152" spans="4:14" ht="12.75" customHeight="1" x14ac:dyDescent="0.15">
      <c r="D152" s="76" t="s">
        <v>52</v>
      </c>
      <c r="E152" s="64">
        <v>11</v>
      </c>
      <c r="F152" s="64">
        <v>1</v>
      </c>
      <c r="G152" s="21">
        <v>1</v>
      </c>
      <c r="H152" s="22">
        <v>61</v>
      </c>
      <c r="I152" s="22">
        <v>0.31</v>
      </c>
      <c r="J152" s="22">
        <v>0.48</v>
      </c>
      <c r="K152" s="22">
        <v>2</v>
      </c>
      <c r="L152" s="22">
        <v>2711.1111110000002</v>
      </c>
      <c r="M152" s="22">
        <v>0.71</v>
      </c>
      <c r="N152" s="23">
        <v>100</v>
      </c>
    </row>
    <row r="153" spans="4:14" ht="12.75" customHeight="1" x14ac:dyDescent="0.15">
      <c r="D153" s="68"/>
      <c r="E153" s="65"/>
      <c r="F153" s="65"/>
      <c r="G153">
        <v>2</v>
      </c>
      <c r="H153" s="17">
        <f>17/N153*100</f>
        <v>83.785714295888255</v>
      </c>
      <c r="I153" s="43">
        <f>0.1/N153*100</f>
        <v>0.49285714291698979</v>
      </c>
      <c r="J153" s="43">
        <f>0.13/N153*100</f>
        <v>0.64071428579208678</v>
      </c>
      <c r="K153" s="14">
        <v>15</v>
      </c>
      <c r="L153" s="17">
        <v>3723.8095239999998</v>
      </c>
      <c r="M153" s="17">
        <f>I153+J153</f>
        <v>1.1335714287090766</v>
      </c>
      <c r="N153" s="30">
        <v>20.289855070000002</v>
      </c>
    </row>
    <row r="154" spans="4:14" ht="12.75" customHeight="1" x14ac:dyDescent="0.15">
      <c r="D154" s="68"/>
      <c r="E154" s="65"/>
      <c r="F154" s="65"/>
      <c r="G154">
        <v>3</v>
      </c>
      <c r="H154" s="47">
        <v>0</v>
      </c>
      <c r="I154" s="47">
        <v>0</v>
      </c>
      <c r="J154" s="47">
        <v>0</v>
      </c>
      <c r="K154" s="47">
        <v>0</v>
      </c>
      <c r="L154" s="48"/>
      <c r="M154" s="48"/>
      <c r="N154" s="52">
        <v>100</v>
      </c>
    </row>
    <row r="155" spans="4:14" ht="12.75" customHeight="1" x14ac:dyDescent="0.15">
      <c r="D155" s="68"/>
      <c r="E155" s="65"/>
      <c r="F155" s="65"/>
      <c r="G155">
        <v>4</v>
      </c>
      <c r="H155" s="47">
        <v>0</v>
      </c>
      <c r="I155" s="47">
        <v>0</v>
      </c>
      <c r="J155" s="47">
        <v>0</v>
      </c>
      <c r="K155" s="47">
        <v>0</v>
      </c>
      <c r="L155" s="48"/>
      <c r="M155" s="48"/>
      <c r="N155" s="52">
        <v>100</v>
      </c>
    </row>
    <row r="156" spans="4:14" ht="12.75" customHeight="1" x14ac:dyDescent="0.15">
      <c r="D156" s="68"/>
      <c r="E156" s="65"/>
      <c r="F156" s="65"/>
      <c r="G156">
        <v>5</v>
      </c>
      <c r="H156" s="17">
        <f>48/N156*100</f>
        <v>132.14117648799976</v>
      </c>
      <c r="I156" s="17">
        <f>0.19/N156*100</f>
        <v>0.52305882359833245</v>
      </c>
      <c r="J156" s="17">
        <f>0.66/N156*100</f>
        <v>1.816941176709997</v>
      </c>
      <c r="K156" s="14">
        <v>9</v>
      </c>
      <c r="L156" s="17">
        <v>5872.9411760000003</v>
      </c>
      <c r="M156" s="17">
        <f>I156+J156</f>
        <v>2.3400000003083292</v>
      </c>
      <c r="N156" s="30">
        <v>36.324786320000001</v>
      </c>
    </row>
    <row r="157" spans="4:14" ht="12.75" customHeight="1" x14ac:dyDescent="0.15">
      <c r="D157" s="68"/>
      <c r="E157" s="65"/>
      <c r="F157" s="65">
        <v>2</v>
      </c>
      <c r="G157">
        <v>1</v>
      </c>
      <c r="H157" s="17">
        <f>59/N157*100</f>
        <v>561.34285717012244</v>
      </c>
      <c r="I157" s="17">
        <f>0.19/N157*100</f>
        <v>1.8077142858020891</v>
      </c>
      <c r="J157" s="17">
        <f>0.31/N157*100</f>
        <v>2.9494285715718296</v>
      </c>
      <c r="K157" s="14">
        <v>33</v>
      </c>
      <c r="L157" s="17">
        <v>24948.57143</v>
      </c>
      <c r="M157" s="17">
        <f>I157+J157</f>
        <v>4.7571428573739185</v>
      </c>
      <c r="N157" s="30">
        <v>10.51051051</v>
      </c>
    </row>
    <row r="158" spans="4:14" ht="12.75" customHeight="1" x14ac:dyDescent="0.15">
      <c r="D158" s="68"/>
      <c r="E158" s="65"/>
      <c r="F158" s="65"/>
      <c r="G158">
        <v>2</v>
      </c>
      <c r="H158" s="17">
        <f>60/N158*100</f>
        <v>604.16666665198204</v>
      </c>
      <c r="I158" s="17">
        <f>2.6/N158*100</f>
        <v>26.180555554919227</v>
      </c>
      <c r="J158" s="17">
        <f>2/N158*100</f>
        <v>20.138888888399403</v>
      </c>
      <c r="K158" s="14">
        <v>19</v>
      </c>
      <c r="L158" s="17">
        <v>26851.851849999999</v>
      </c>
      <c r="M158" s="17">
        <f>I158+J158</f>
        <v>46.319444443318631</v>
      </c>
      <c r="N158" s="30">
        <v>9.9310344829999995</v>
      </c>
    </row>
    <row r="159" spans="4:14" ht="12.75" customHeight="1" x14ac:dyDescent="0.15">
      <c r="D159" s="68"/>
      <c r="E159" s="65"/>
      <c r="F159" s="65"/>
      <c r="G159">
        <v>3</v>
      </c>
      <c r="H159" s="14">
        <v>317</v>
      </c>
      <c r="I159" s="14">
        <v>1.54</v>
      </c>
      <c r="J159" s="14">
        <v>2.15</v>
      </c>
      <c r="K159" s="14">
        <v>17</v>
      </c>
      <c r="L159" s="14">
        <v>14088.88889</v>
      </c>
      <c r="M159" s="14">
        <v>5</v>
      </c>
      <c r="N159" s="24">
        <v>100</v>
      </c>
    </row>
    <row r="160" spans="4:14" ht="12.75" customHeight="1" x14ac:dyDescent="0.15">
      <c r="D160" s="68"/>
      <c r="E160" s="65"/>
      <c r="F160" s="65"/>
      <c r="G160">
        <v>4</v>
      </c>
      <c r="H160" s="14">
        <v>541</v>
      </c>
      <c r="I160" s="14">
        <v>1.55</v>
      </c>
      <c r="J160" s="14">
        <v>2.29</v>
      </c>
      <c r="K160" s="14">
        <v>29</v>
      </c>
      <c r="L160" s="14">
        <v>24044.444439999999</v>
      </c>
      <c r="M160" s="14">
        <v>6</v>
      </c>
      <c r="N160" s="24">
        <v>100</v>
      </c>
    </row>
    <row r="161" spans="4:14" ht="12.75" customHeight="1" x14ac:dyDescent="0.15">
      <c r="D161" s="68"/>
      <c r="E161" s="65"/>
      <c r="F161" s="65"/>
      <c r="G161">
        <v>5</v>
      </c>
      <c r="H161" s="17">
        <f>75/N161*100</f>
        <v>750</v>
      </c>
      <c r="I161" s="17">
        <f>0.26/N161*100</f>
        <v>2.6</v>
      </c>
      <c r="J161" s="17">
        <f>0.61/N161*100</f>
        <v>6.1</v>
      </c>
      <c r="K161" s="14">
        <v>25</v>
      </c>
      <c r="L161" s="17">
        <v>33333.333330000001</v>
      </c>
      <c r="M161" s="17">
        <f>I161+J161</f>
        <v>8.6999999999999993</v>
      </c>
      <c r="N161" s="30">
        <v>10</v>
      </c>
    </row>
    <row r="162" spans="4:14" ht="12.75" customHeight="1" x14ac:dyDescent="0.15">
      <c r="D162" s="68"/>
      <c r="E162" s="65"/>
      <c r="F162" s="65">
        <v>3</v>
      </c>
      <c r="G162">
        <v>1</v>
      </c>
      <c r="H162" s="47">
        <v>0</v>
      </c>
      <c r="I162" s="47">
        <v>0</v>
      </c>
      <c r="J162" s="47">
        <v>0</v>
      </c>
      <c r="K162" s="47">
        <v>0</v>
      </c>
      <c r="L162" s="48"/>
      <c r="M162" s="48"/>
      <c r="N162" s="52">
        <v>100</v>
      </c>
    </row>
    <row r="163" spans="4:14" ht="12.75" customHeight="1" x14ac:dyDescent="0.15">
      <c r="D163" s="68"/>
      <c r="E163" s="65"/>
      <c r="F163" s="65"/>
      <c r="G163">
        <v>2</v>
      </c>
      <c r="H163" s="17">
        <f>28/N163*100</f>
        <v>283.99999998782857</v>
      </c>
      <c r="I163" s="17">
        <f>0.22/N163*100</f>
        <v>2.2314285713329385</v>
      </c>
      <c r="J163" s="17">
        <f>0.5/N163*100</f>
        <v>5.0714285712112241</v>
      </c>
      <c r="K163" s="14">
        <v>25</v>
      </c>
      <c r="L163" s="17">
        <v>12622.22222</v>
      </c>
      <c r="M163" s="17">
        <f>I163+J163</f>
        <v>7.3028571425441626</v>
      </c>
      <c r="N163" s="30">
        <v>9.8591549300000008</v>
      </c>
    </row>
    <row r="164" spans="4:14" ht="12.75" customHeight="1" x14ac:dyDescent="0.15">
      <c r="D164" s="68"/>
      <c r="E164" s="65"/>
      <c r="F164" s="65"/>
      <c r="G164">
        <v>3</v>
      </c>
      <c r="H164" s="47">
        <v>0</v>
      </c>
      <c r="I164" s="47">
        <v>0</v>
      </c>
      <c r="J164" s="47">
        <v>0</v>
      </c>
      <c r="K164" s="47">
        <v>0</v>
      </c>
      <c r="L164" s="48"/>
      <c r="M164" s="48"/>
      <c r="N164" s="49">
        <v>100</v>
      </c>
    </row>
    <row r="165" spans="4:14" ht="12.75" customHeight="1" x14ac:dyDescent="0.15">
      <c r="D165" s="68"/>
      <c r="E165" s="65"/>
      <c r="F165" s="65"/>
      <c r="G165">
        <v>4</v>
      </c>
      <c r="H165" s="47">
        <v>0</v>
      </c>
      <c r="I165" s="47">
        <v>0</v>
      </c>
      <c r="J165" s="47">
        <v>0</v>
      </c>
      <c r="K165" s="47">
        <v>0</v>
      </c>
      <c r="L165" s="48"/>
      <c r="M165" s="48"/>
      <c r="N165" s="49">
        <v>100</v>
      </c>
    </row>
    <row r="166" spans="4:14" ht="12.75" customHeight="1" x14ac:dyDescent="0.15">
      <c r="D166" s="69"/>
      <c r="E166" s="66"/>
      <c r="F166" s="66"/>
      <c r="G166" s="19">
        <v>5</v>
      </c>
      <c r="H166" s="50">
        <v>0</v>
      </c>
      <c r="I166" s="50">
        <v>0</v>
      </c>
      <c r="J166" s="50">
        <v>0</v>
      </c>
      <c r="K166" s="50">
        <v>0</v>
      </c>
      <c r="L166" s="51"/>
      <c r="M166" s="51"/>
      <c r="N166" s="49">
        <v>100</v>
      </c>
    </row>
  </sheetData>
  <mergeCells count="49">
    <mergeCell ref="F157:F161"/>
    <mergeCell ref="F162:F166"/>
    <mergeCell ref="E152:E166"/>
    <mergeCell ref="D122:D151"/>
    <mergeCell ref="D152:D166"/>
    <mergeCell ref="F132:F136"/>
    <mergeCell ref="E122:E136"/>
    <mergeCell ref="F137:F141"/>
    <mergeCell ref="F142:F146"/>
    <mergeCell ref="F147:F151"/>
    <mergeCell ref="E137:E151"/>
    <mergeCell ref="F122:F126"/>
    <mergeCell ref="F127:F131"/>
    <mergeCell ref="F152:F156"/>
    <mergeCell ref="F42:F46"/>
    <mergeCell ref="A1:B1"/>
    <mergeCell ref="E17:E31"/>
    <mergeCell ref="F2:F6"/>
    <mergeCell ref="F7:F11"/>
    <mergeCell ref="F12:F16"/>
    <mergeCell ref="E2:E16"/>
    <mergeCell ref="F17:F21"/>
    <mergeCell ref="E47:E61"/>
    <mergeCell ref="D2:D61"/>
    <mergeCell ref="F77:F81"/>
    <mergeCell ref="F82:F86"/>
    <mergeCell ref="F87:F91"/>
    <mergeCell ref="F52:F56"/>
    <mergeCell ref="F57:F61"/>
    <mergeCell ref="F62:F66"/>
    <mergeCell ref="F67:F71"/>
    <mergeCell ref="F72:F76"/>
    <mergeCell ref="F47:F51"/>
    <mergeCell ref="E32:E46"/>
    <mergeCell ref="F22:F26"/>
    <mergeCell ref="F27:F31"/>
    <mergeCell ref="F32:F36"/>
    <mergeCell ref="F37:F41"/>
    <mergeCell ref="E107:E121"/>
    <mergeCell ref="D62:D121"/>
    <mergeCell ref="F97:F101"/>
    <mergeCell ref="E62:E76"/>
    <mergeCell ref="E77:E91"/>
    <mergeCell ref="F102:F106"/>
    <mergeCell ref="E92:E106"/>
    <mergeCell ref="F107:F111"/>
    <mergeCell ref="F92:F96"/>
    <mergeCell ref="F112:F116"/>
    <mergeCell ref="F117:F1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9C06E-46ED-4E55-9FB9-EB6BDB139380}">
  <dimension ref="A1:P131"/>
  <sheetViews>
    <sheetView topLeftCell="A81" zoomScale="92" workbookViewId="0">
      <selection activeCell="T24" sqref="T24"/>
    </sheetView>
  </sheetViews>
  <sheetFormatPr baseColWidth="10" defaultColWidth="11.5" defaultRowHeight="13" x14ac:dyDescent="0.15"/>
  <cols>
    <col min="2" max="2" width="18.1640625" customWidth="1"/>
    <col min="3" max="3" width="19.6640625" customWidth="1"/>
    <col min="4" max="4" width="15.1640625" customWidth="1"/>
  </cols>
  <sheetData>
    <row r="1" spans="1:16" x14ac:dyDescent="0.15">
      <c r="B1" t="s">
        <v>43</v>
      </c>
      <c r="C1" t="s">
        <v>44</v>
      </c>
      <c r="D1" t="s">
        <v>42</v>
      </c>
      <c r="F1" s="8" t="s">
        <v>53</v>
      </c>
      <c r="G1" s="8" t="s">
        <v>63</v>
      </c>
      <c r="H1" s="8" t="s">
        <v>64</v>
      </c>
      <c r="J1" s="8" t="s">
        <v>58</v>
      </c>
      <c r="K1" s="8" t="s">
        <v>63</v>
      </c>
      <c r="L1" s="8" t="s">
        <v>64</v>
      </c>
      <c r="N1" s="8" t="s">
        <v>59</v>
      </c>
      <c r="O1" s="8" t="s">
        <v>63</v>
      </c>
      <c r="P1" s="8" t="s">
        <v>64</v>
      </c>
    </row>
    <row r="2" spans="1:16" x14ac:dyDescent="0.15">
      <c r="A2">
        <v>2</v>
      </c>
      <c r="B2" s="22">
        <v>15555.555560000001</v>
      </c>
      <c r="C2" s="22">
        <v>2.76</v>
      </c>
      <c r="D2" s="22">
        <v>18</v>
      </c>
      <c r="G2" s="22">
        <v>18</v>
      </c>
      <c r="H2" s="60">
        <v>60</v>
      </c>
      <c r="K2" s="22">
        <v>2.76</v>
      </c>
      <c r="L2" s="60">
        <v>19.28</v>
      </c>
      <c r="O2" s="22">
        <v>15555.555560000001</v>
      </c>
      <c r="P2" s="17">
        <v>50405.228759999998</v>
      </c>
    </row>
    <row r="3" spans="1:16" x14ac:dyDescent="0.15">
      <c r="A3">
        <v>2</v>
      </c>
      <c r="B3" s="14">
        <v>14266.666670000001</v>
      </c>
      <c r="C3" s="14">
        <v>1.71</v>
      </c>
      <c r="D3" s="14">
        <v>10</v>
      </c>
      <c r="G3" s="14">
        <v>10</v>
      </c>
      <c r="H3" s="14">
        <v>12</v>
      </c>
      <c r="K3" s="14">
        <v>1.71</v>
      </c>
      <c r="L3" s="14">
        <v>5.71</v>
      </c>
      <c r="O3" s="14">
        <v>14266.666670000001</v>
      </c>
      <c r="P3" s="60">
        <v>64933.333330000001</v>
      </c>
    </row>
    <row r="4" spans="1:16" x14ac:dyDescent="0.15">
      <c r="A4">
        <v>2</v>
      </c>
      <c r="B4" s="14">
        <v>19777.77778</v>
      </c>
      <c r="C4" s="14">
        <v>2.2200000000000002</v>
      </c>
      <c r="D4" s="14">
        <v>12</v>
      </c>
      <c r="G4" s="14">
        <v>12</v>
      </c>
      <c r="H4" s="14">
        <v>25</v>
      </c>
      <c r="K4" s="14">
        <v>2.2200000000000002</v>
      </c>
      <c r="L4" s="17">
        <v>13.75</v>
      </c>
      <c r="O4" s="14">
        <v>19777.77778</v>
      </c>
      <c r="P4" s="17">
        <v>33858.85886</v>
      </c>
    </row>
    <row r="5" spans="1:16" x14ac:dyDescent="0.15">
      <c r="A5">
        <v>2</v>
      </c>
      <c r="B5" s="14">
        <v>24088.888889999998</v>
      </c>
      <c r="C5" s="60">
        <v>6.66</v>
      </c>
      <c r="D5" s="14">
        <v>17</v>
      </c>
      <c r="G5" s="14">
        <v>17</v>
      </c>
      <c r="H5" s="14">
        <v>17</v>
      </c>
      <c r="K5" s="60">
        <v>6.66</v>
      </c>
      <c r="L5" s="17">
        <v>7.09</v>
      </c>
      <c r="O5" s="14">
        <v>24088.888889999998</v>
      </c>
      <c r="P5" s="17">
        <v>31511.111110000002</v>
      </c>
    </row>
    <row r="6" spans="1:16" x14ac:dyDescent="0.15">
      <c r="A6">
        <v>2</v>
      </c>
      <c r="B6" s="14">
        <v>21777.77778</v>
      </c>
      <c r="C6" s="14">
        <v>1.71</v>
      </c>
      <c r="D6" s="14">
        <v>15</v>
      </c>
      <c r="G6" s="14">
        <v>15</v>
      </c>
      <c r="H6" s="14">
        <v>20</v>
      </c>
      <c r="K6" s="14">
        <v>1.71</v>
      </c>
      <c r="L6" s="17">
        <v>7.95</v>
      </c>
      <c r="O6" s="14">
        <v>21777.77778</v>
      </c>
      <c r="P6" s="17">
        <v>46981.684979999998</v>
      </c>
    </row>
    <row r="7" spans="1:16" x14ac:dyDescent="0.15">
      <c r="A7">
        <v>2</v>
      </c>
      <c r="B7" s="14">
        <v>20444.444439999999</v>
      </c>
      <c r="C7" s="14">
        <v>3.56</v>
      </c>
      <c r="D7" s="14">
        <v>20</v>
      </c>
      <c r="G7" s="14">
        <v>20</v>
      </c>
      <c r="H7" s="14">
        <v>7</v>
      </c>
      <c r="K7" s="14">
        <v>3.56</v>
      </c>
      <c r="L7" s="17">
        <v>3.73</v>
      </c>
      <c r="O7" s="14">
        <v>20444.444439999999</v>
      </c>
      <c r="P7" s="17">
        <v>15824.24242</v>
      </c>
    </row>
    <row r="8" spans="1:16" x14ac:dyDescent="0.15">
      <c r="A8">
        <v>2</v>
      </c>
      <c r="B8" s="14">
        <v>28844.444439999999</v>
      </c>
      <c r="C8" s="14">
        <v>5.67</v>
      </c>
      <c r="D8" s="14">
        <v>25</v>
      </c>
      <c r="G8" s="14">
        <v>25</v>
      </c>
      <c r="H8" s="14">
        <v>2</v>
      </c>
      <c r="K8" s="14">
        <v>5.67</v>
      </c>
      <c r="L8" s="14">
        <v>0.73</v>
      </c>
      <c r="O8" s="14">
        <v>28844.444439999999</v>
      </c>
      <c r="P8" s="14">
        <v>16977.77778</v>
      </c>
    </row>
    <row r="9" spans="1:16" x14ac:dyDescent="0.15">
      <c r="A9">
        <v>2</v>
      </c>
      <c r="B9" s="14">
        <v>41644.444439999999</v>
      </c>
      <c r="C9" s="14">
        <v>3.53</v>
      </c>
      <c r="D9" s="14">
        <v>18</v>
      </c>
      <c r="G9" s="14">
        <v>18</v>
      </c>
      <c r="H9" s="14">
        <v>17</v>
      </c>
      <c r="K9" s="14">
        <v>3.53</v>
      </c>
      <c r="L9" s="17">
        <v>6.68</v>
      </c>
      <c r="O9" s="14">
        <v>41644.444439999999</v>
      </c>
      <c r="P9" s="17">
        <v>22266.666669999999</v>
      </c>
    </row>
    <row r="10" spans="1:16" x14ac:dyDescent="0.15">
      <c r="A10">
        <v>2</v>
      </c>
      <c r="B10" s="60">
        <v>37200</v>
      </c>
      <c r="C10" s="14">
        <v>2.5</v>
      </c>
      <c r="D10" s="14">
        <v>12</v>
      </c>
      <c r="G10" s="14">
        <v>12</v>
      </c>
      <c r="H10" s="14">
        <v>5</v>
      </c>
      <c r="K10" s="14">
        <v>2.5</v>
      </c>
      <c r="L10" s="17">
        <v>1.63</v>
      </c>
      <c r="O10" s="60">
        <v>37200</v>
      </c>
      <c r="P10" s="17">
        <v>8279.3650789999992</v>
      </c>
    </row>
    <row r="11" spans="1:16" x14ac:dyDescent="0.15">
      <c r="A11">
        <v>2</v>
      </c>
      <c r="B11" s="14">
        <v>26800</v>
      </c>
      <c r="C11" s="14">
        <v>1.92</v>
      </c>
      <c r="D11" s="14">
        <v>15</v>
      </c>
      <c r="G11" s="14">
        <v>15</v>
      </c>
      <c r="H11" s="14">
        <v>5</v>
      </c>
      <c r="K11" s="14">
        <v>1.92</v>
      </c>
      <c r="L11" s="14">
        <v>1.06</v>
      </c>
      <c r="O11" s="14">
        <v>26800</v>
      </c>
      <c r="P11" s="14">
        <v>17333.333330000001</v>
      </c>
    </row>
    <row r="12" spans="1:16" x14ac:dyDescent="0.15">
      <c r="A12">
        <v>2</v>
      </c>
      <c r="B12" s="14">
        <v>18711.111110000002</v>
      </c>
      <c r="C12" s="14">
        <v>5.14</v>
      </c>
      <c r="D12" s="14">
        <v>30</v>
      </c>
      <c r="G12" s="14">
        <v>30</v>
      </c>
      <c r="H12" s="14">
        <v>1</v>
      </c>
      <c r="K12" s="14">
        <v>5.14</v>
      </c>
      <c r="L12" s="14">
        <v>0.08</v>
      </c>
      <c r="O12" s="14">
        <v>18711.111110000002</v>
      </c>
      <c r="P12" s="14">
        <v>1644.444444</v>
      </c>
    </row>
    <row r="13" spans="1:16" x14ac:dyDescent="0.15">
      <c r="A13">
        <v>2</v>
      </c>
      <c r="B13" s="14">
        <v>2088.8888889999998</v>
      </c>
      <c r="C13" s="14">
        <v>0.56000000000000005</v>
      </c>
      <c r="D13" s="14">
        <v>7</v>
      </c>
      <c r="G13" s="14">
        <v>7</v>
      </c>
      <c r="H13" s="14">
        <v>17</v>
      </c>
      <c r="K13" s="14">
        <v>0.56000000000000005</v>
      </c>
      <c r="L13" s="17">
        <v>6.8</v>
      </c>
      <c r="O13" s="14">
        <v>2088.8888889999998</v>
      </c>
      <c r="P13" s="17">
        <v>52385.185189999997</v>
      </c>
    </row>
    <row r="14" spans="1:16" x14ac:dyDescent="0.15">
      <c r="A14">
        <v>2</v>
      </c>
      <c r="B14" s="14">
        <v>11200</v>
      </c>
      <c r="C14" s="14">
        <v>4.87</v>
      </c>
      <c r="D14" s="14">
        <v>10</v>
      </c>
      <c r="G14" s="14">
        <v>10</v>
      </c>
      <c r="H14" s="20">
        <v>12</v>
      </c>
      <c r="K14" s="14">
        <v>4.87</v>
      </c>
      <c r="L14" s="34">
        <v>5.5</v>
      </c>
      <c r="O14" s="14">
        <v>11200</v>
      </c>
      <c r="P14" s="34">
        <v>30344.827590000001</v>
      </c>
    </row>
    <row r="15" spans="1:16" x14ac:dyDescent="0.15">
      <c r="A15">
        <v>2</v>
      </c>
      <c r="B15" s="14">
        <v>23022.22222</v>
      </c>
      <c r="C15" s="14">
        <v>4</v>
      </c>
      <c r="D15" s="14">
        <v>25</v>
      </c>
      <c r="G15" s="14">
        <v>25</v>
      </c>
      <c r="H15" s="14">
        <v>25</v>
      </c>
      <c r="K15" s="14">
        <v>4</v>
      </c>
      <c r="O15" s="14">
        <v>23022.22222</v>
      </c>
    </row>
    <row r="16" spans="1:16" x14ac:dyDescent="0.15">
      <c r="A16">
        <v>2</v>
      </c>
      <c r="B16" s="20">
        <v>12488.88889</v>
      </c>
      <c r="C16" s="61">
        <v>7.98</v>
      </c>
      <c r="D16" s="20">
        <v>30</v>
      </c>
      <c r="G16" s="20">
        <v>30</v>
      </c>
      <c r="H16" s="14">
        <v>17</v>
      </c>
      <c r="K16" s="61">
        <v>7.98</v>
      </c>
      <c r="O16" s="20">
        <v>12488.88889</v>
      </c>
    </row>
    <row r="17" spans="1:16" x14ac:dyDescent="0.15">
      <c r="A17">
        <v>3</v>
      </c>
      <c r="B17" s="14">
        <v>4311.1111110000002</v>
      </c>
      <c r="C17" s="14">
        <v>1.1599999999999999</v>
      </c>
      <c r="D17" s="14">
        <v>25</v>
      </c>
      <c r="G17" s="14">
        <v>25</v>
      </c>
      <c r="H17" s="14">
        <v>38</v>
      </c>
      <c r="K17" s="14">
        <v>1.1599999999999999</v>
      </c>
      <c r="L17" s="18">
        <v>6.74</v>
      </c>
      <c r="O17" s="14">
        <v>4311.1111110000002</v>
      </c>
      <c r="P17" s="18">
        <v>28977.77778</v>
      </c>
    </row>
    <row r="18" spans="1:16" x14ac:dyDescent="0.15">
      <c r="A18">
        <v>3</v>
      </c>
      <c r="B18" s="14">
        <v>3600</v>
      </c>
      <c r="C18" s="14">
        <v>0.99</v>
      </c>
      <c r="D18" s="14">
        <v>5</v>
      </c>
      <c r="G18" s="14">
        <v>5</v>
      </c>
      <c r="H18" s="14">
        <v>17</v>
      </c>
      <c r="K18" s="14">
        <v>0.99</v>
      </c>
      <c r="O18" s="14">
        <v>3600</v>
      </c>
      <c r="P18" s="14"/>
    </row>
    <row r="19" spans="1:16" x14ac:dyDescent="0.15">
      <c r="A19">
        <v>3</v>
      </c>
      <c r="B19" s="14">
        <v>6800</v>
      </c>
      <c r="C19" s="14">
        <v>1.51</v>
      </c>
      <c r="D19" s="14">
        <v>10</v>
      </c>
      <c r="G19" s="14">
        <v>10</v>
      </c>
      <c r="H19" s="14">
        <v>7</v>
      </c>
      <c r="K19" s="14">
        <v>1.51</v>
      </c>
      <c r="L19" s="18">
        <v>5.05</v>
      </c>
      <c r="O19" s="14">
        <v>6800</v>
      </c>
      <c r="P19" s="18">
        <v>31466.666669999999</v>
      </c>
    </row>
    <row r="20" spans="1:16" x14ac:dyDescent="0.15">
      <c r="A20">
        <v>3</v>
      </c>
      <c r="B20" s="14">
        <v>2533.333333</v>
      </c>
      <c r="C20" s="14">
        <v>0.41</v>
      </c>
      <c r="D20" s="14">
        <v>30</v>
      </c>
      <c r="G20" s="14">
        <v>30</v>
      </c>
      <c r="H20" s="14">
        <v>38</v>
      </c>
      <c r="K20" s="14">
        <v>0.41</v>
      </c>
      <c r="L20" s="18">
        <v>6.58</v>
      </c>
      <c r="O20" s="14">
        <v>2533.333333</v>
      </c>
      <c r="P20" s="18">
        <v>59600</v>
      </c>
    </row>
    <row r="21" spans="1:16" x14ac:dyDescent="0.15">
      <c r="A21">
        <v>3</v>
      </c>
      <c r="B21" s="14">
        <v>12844.444439999999</v>
      </c>
      <c r="C21" s="14">
        <v>1.64</v>
      </c>
      <c r="D21" s="14">
        <v>40</v>
      </c>
      <c r="G21" s="14">
        <v>40</v>
      </c>
      <c r="H21" s="14">
        <v>17</v>
      </c>
      <c r="K21" s="14">
        <v>1.64</v>
      </c>
      <c r="O21" s="14">
        <v>12844.444439999999</v>
      </c>
      <c r="P21" s="14"/>
    </row>
    <row r="22" spans="1:16" x14ac:dyDescent="0.15">
      <c r="A22">
        <v>3</v>
      </c>
      <c r="B22" s="14">
        <v>13288.88889</v>
      </c>
      <c r="C22" s="60">
        <v>8.61</v>
      </c>
      <c r="D22" s="60">
        <v>70</v>
      </c>
      <c r="G22" s="60">
        <v>70</v>
      </c>
      <c r="H22" s="14">
        <v>25</v>
      </c>
      <c r="K22" s="60">
        <v>8.61</v>
      </c>
      <c r="L22" s="18">
        <v>8.1</v>
      </c>
      <c r="O22" s="14">
        <v>13288.88889</v>
      </c>
      <c r="P22" s="18">
        <v>43466.666669999999</v>
      </c>
    </row>
    <row r="23" spans="1:16" x14ac:dyDescent="0.15">
      <c r="A23">
        <v>3</v>
      </c>
      <c r="B23" s="14">
        <v>9244.4444440000007</v>
      </c>
      <c r="C23" s="14">
        <v>4.4400000000000004</v>
      </c>
      <c r="D23" s="14">
        <v>25</v>
      </c>
      <c r="G23" s="14">
        <v>25</v>
      </c>
      <c r="H23" s="14">
        <v>17</v>
      </c>
      <c r="K23" s="14">
        <v>4.4400000000000004</v>
      </c>
      <c r="L23" s="15"/>
      <c r="O23" s="14">
        <v>9244.4444440000007</v>
      </c>
      <c r="P23" s="16"/>
    </row>
    <row r="24" spans="1:16" x14ac:dyDescent="0.15">
      <c r="A24">
        <v>3</v>
      </c>
      <c r="B24" s="14">
        <v>7644.4444439999997</v>
      </c>
      <c r="C24" s="14">
        <v>6.01</v>
      </c>
      <c r="D24" s="14">
        <v>25</v>
      </c>
      <c r="G24" s="14">
        <v>25</v>
      </c>
      <c r="H24" s="14">
        <v>25</v>
      </c>
      <c r="K24" s="14">
        <v>6.01</v>
      </c>
      <c r="L24" s="15"/>
      <c r="O24" s="14">
        <v>7644.4444439999997</v>
      </c>
      <c r="P24" s="16"/>
    </row>
    <row r="25" spans="1:16" x14ac:dyDescent="0.15">
      <c r="A25">
        <v>3</v>
      </c>
      <c r="B25" s="14">
        <v>6800</v>
      </c>
      <c r="C25" s="14">
        <v>2.1</v>
      </c>
      <c r="D25" s="14">
        <v>15</v>
      </c>
      <c r="G25" s="14">
        <v>15</v>
      </c>
      <c r="H25" s="14">
        <v>17</v>
      </c>
      <c r="K25" s="14">
        <v>2.1</v>
      </c>
      <c r="L25" s="15"/>
      <c r="O25" s="14">
        <v>6800</v>
      </c>
      <c r="P25" s="16"/>
    </row>
    <row r="26" spans="1:16" x14ac:dyDescent="0.15">
      <c r="A26">
        <v>3</v>
      </c>
      <c r="B26" s="14">
        <v>8844.4444440000007</v>
      </c>
      <c r="C26" s="14">
        <v>2.78</v>
      </c>
      <c r="D26" s="14">
        <v>25</v>
      </c>
      <c r="G26" s="14">
        <v>25</v>
      </c>
      <c r="H26" s="14">
        <v>25</v>
      </c>
      <c r="K26" s="14">
        <v>2.78</v>
      </c>
      <c r="L26" s="15"/>
      <c r="O26" s="14">
        <v>8844.4444440000007</v>
      </c>
      <c r="P26" s="16"/>
    </row>
    <row r="27" spans="1:16" x14ac:dyDescent="0.15">
      <c r="A27">
        <v>3</v>
      </c>
      <c r="B27" s="14">
        <v>3911.1111110000002</v>
      </c>
      <c r="C27" s="14">
        <v>5.14</v>
      </c>
      <c r="D27" s="14">
        <v>35</v>
      </c>
      <c r="G27" s="14">
        <v>35</v>
      </c>
      <c r="H27" s="14">
        <v>17</v>
      </c>
      <c r="K27" s="14">
        <v>5.14</v>
      </c>
      <c r="L27" s="17">
        <v>6.5238095238095237</v>
      </c>
      <c r="O27" s="14">
        <v>3911.1111110000002</v>
      </c>
      <c r="P27" s="14">
        <v>25822.22222</v>
      </c>
    </row>
    <row r="28" spans="1:16" x14ac:dyDescent="0.15">
      <c r="A28">
        <v>3</v>
      </c>
      <c r="B28" s="14">
        <v>1111.1111109999999</v>
      </c>
      <c r="C28" s="14">
        <v>0.49</v>
      </c>
      <c r="D28" s="14">
        <v>3</v>
      </c>
      <c r="G28" s="14">
        <v>3</v>
      </c>
      <c r="H28" s="14">
        <v>12</v>
      </c>
      <c r="K28" s="14">
        <v>0.49</v>
      </c>
      <c r="O28" s="14">
        <v>1111.1111109999999</v>
      </c>
      <c r="P28" s="14"/>
    </row>
    <row r="29" spans="1:16" x14ac:dyDescent="0.15">
      <c r="A29">
        <v>3</v>
      </c>
      <c r="B29" s="14">
        <v>2444.4444440000002</v>
      </c>
      <c r="C29" s="14">
        <v>0.33</v>
      </c>
      <c r="D29" s="14">
        <v>20</v>
      </c>
      <c r="G29" s="14">
        <v>20</v>
      </c>
      <c r="H29" s="20">
        <v>45</v>
      </c>
      <c r="K29" s="14">
        <v>0.33</v>
      </c>
      <c r="L29" s="26">
        <v>1.57</v>
      </c>
      <c r="O29" s="14">
        <v>2444.4444440000002</v>
      </c>
      <c r="P29" s="26">
        <v>12400</v>
      </c>
    </row>
    <row r="30" spans="1:16" x14ac:dyDescent="0.15">
      <c r="A30">
        <v>3</v>
      </c>
      <c r="B30" s="20">
        <v>7733.3333329999996</v>
      </c>
      <c r="C30" s="20">
        <v>1.1100000000000001</v>
      </c>
      <c r="D30" s="20">
        <v>45</v>
      </c>
      <c r="G30" s="20">
        <v>45</v>
      </c>
      <c r="H30" s="22">
        <v>2</v>
      </c>
      <c r="K30" s="20">
        <v>1.1100000000000001</v>
      </c>
      <c r="L30" s="22">
        <v>0.71</v>
      </c>
      <c r="O30" s="20">
        <v>7733.3333329999996</v>
      </c>
      <c r="P30" s="22">
        <v>2711.1111110000002</v>
      </c>
    </row>
    <row r="31" spans="1:16" x14ac:dyDescent="0.15">
      <c r="A31">
        <v>7</v>
      </c>
      <c r="B31" s="22">
        <v>5777.7777779999997</v>
      </c>
      <c r="C31" s="22">
        <v>0.54</v>
      </c>
      <c r="D31" s="22">
        <v>7</v>
      </c>
      <c r="G31" s="22">
        <v>7</v>
      </c>
      <c r="H31" s="14">
        <v>15</v>
      </c>
      <c r="K31" s="22">
        <v>0.54</v>
      </c>
      <c r="L31" s="17">
        <v>1.1335714287090766</v>
      </c>
      <c r="O31" s="22">
        <v>5777.7777779999997</v>
      </c>
      <c r="P31" s="17">
        <v>3723.8095239999998</v>
      </c>
    </row>
    <row r="32" spans="1:16" x14ac:dyDescent="0.15">
      <c r="A32">
        <v>7</v>
      </c>
      <c r="B32" s="14">
        <v>15377.77778</v>
      </c>
      <c r="C32" s="14">
        <v>2.5299999999999998</v>
      </c>
      <c r="D32" s="14">
        <v>38</v>
      </c>
      <c r="G32" s="14">
        <v>38</v>
      </c>
      <c r="H32" s="14">
        <v>9</v>
      </c>
      <c r="K32" s="14">
        <v>2.5299999999999998</v>
      </c>
      <c r="L32" s="17">
        <v>2.3400000003083292</v>
      </c>
      <c r="O32" s="14">
        <v>15377.77778</v>
      </c>
      <c r="P32" s="17">
        <v>5872.9411760000003</v>
      </c>
    </row>
    <row r="33" spans="1:16" x14ac:dyDescent="0.15">
      <c r="A33">
        <v>7</v>
      </c>
      <c r="B33" s="14">
        <v>22222.22222</v>
      </c>
      <c r="C33" s="14">
        <v>2.6</v>
      </c>
      <c r="D33" s="14">
        <v>30</v>
      </c>
      <c r="G33" s="14">
        <v>30</v>
      </c>
      <c r="H33" s="14">
        <v>33</v>
      </c>
      <c r="K33" s="14">
        <v>2.6</v>
      </c>
      <c r="L33" s="17">
        <v>4.7571428573739185</v>
      </c>
      <c r="O33" s="14">
        <v>22222.22222</v>
      </c>
      <c r="P33" s="17">
        <v>24948.57143</v>
      </c>
    </row>
    <row r="34" spans="1:16" x14ac:dyDescent="0.15">
      <c r="A34">
        <v>7</v>
      </c>
      <c r="B34" s="14">
        <v>6711.1111110000002</v>
      </c>
      <c r="C34" s="14">
        <v>0.98</v>
      </c>
      <c r="D34" s="14">
        <v>7</v>
      </c>
      <c r="G34" s="14">
        <v>7</v>
      </c>
      <c r="H34" s="14">
        <v>19</v>
      </c>
      <c r="K34" s="14">
        <v>0.98</v>
      </c>
      <c r="L34" s="60">
        <v>46.319444443318631</v>
      </c>
      <c r="O34" s="14">
        <v>6711.1111110000002</v>
      </c>
      <c r="P34" s="17">
        <v>26851.851849999999</v>
      </c>
    </row>
    <row r="35" spans="1:16" x14ac:dyDescent="0.15">
      <c r="A35">
        <v>7</v>
      </c>
      <c r="B35" s="14">
        <v>29333.333330000001</v>
      </c>
      <c r="C35" s="14">
        <v>5.4</v>
      </c>
      <c r="D35" s="14">
        <v>7</v>
      </c>
      <c r="G35" s="14">
        <v>7</v>
      </c>
      <c r="H35" s="14">
        <v>17</v>
      </c>
      <c r="K35" s="14">
        <v>5.4</v>
      </c>
      <c r="L35" s="14">
        <v>5</v>
      </c>
      <c r="O35" s="14">
        <v>29333.333330000001</v>
      </c>
      <c r="P35" s="14">
        <v>14088.88889</v>
      </c>
    </row>
    <row r="36" spans="1:16" x14ac:dyDescent="0.15">
      <c r="A36">
        <v>7</v>
      </c>
      <c r="B36" s="14">
        <v>13333.333329999999</v>
      </c>
      <c r="C36" s="14">
        <v>3.2</v>
      </c>
      <c r="D36" s="14">
        <v>38</v>
      </c>
      <c r="G36" s="14">
        <v>38</v>
      </c>
      <c r="H36" s="14">
        <v>29</v>
      </c>
      <c r="K36" s="14">
        <v>3.2</v>
      </c>
      <c r="L36" s="14">
        <v>6</v>
      </c>
      <c r="O36" s="14">
        <v>13333.333329999999</v>
      </c>
      <c r="P36" s="14">
        <v>24044.444439999999</v>
      </c>
    </row>
    <row r="37" spans="1:16" x14ac:dyDescent="0.15">
      <c r="A37">
        <v>7</v>
      </c>
      <c r="B37" s="14">
        <v>7777.7777779999997</v>
      </c>
      <c r="C37" s="14">
        <v>0.69</v>
      </c>
      <c r="D37" s="14">
        <v>5</v>
      </c>
      <c r="G37" s="14">
        <v>5</v>
      </c>
      <c r="H37" s="14">
        <v>25</v>
      </c>
      <c r="K37" s="14">
        <v>0.69</v>
      </c>
      <c r="L37" s="17">
        <v>8.6999999999999993</v>
      </c>
      <c r="O37" s="14">
        <v>7777.7777779999997</v>
      </c>
      <c r="P37" s="17">
        <v>33333.333330000001</v>
      </c>
    </row>
    <row r="38" spans="1:16" x14ac:dyDescent="0.15">
      <c r="A38">
        <v>7</v>
      </c>
      <c r="B38" s="14">
        <v>5955.5555560000003</v>
      </c>
      <c r="C38" s="14">
        <v>0.72</v>
      </c>
      <c r="D38" s="14">
        <v>25</v>
      </c>
      <c r="G38" s="14">
        <v>25</v>
      </c>
      <c r="H38" s="14">
        <v>25</v>
      </c>
      <c r="K38" s="14">
        <v>0.72</v>
      </c>
      <c r="L38" s="17">
        <v>7.3028571425441626</v>
      </c>
      <c r="O38" s="14">
        <v>5955.5555560000003</v>
      </c>
      <c r="P38" s="17">
        <v>12622.22222</v>
      </c>
    </row>
    <row r="39" spans="1:16" x14ac:dyDescent="0.15">
      <c r="A39">
        <v>7</v>
      </c>
      <c r="B39" s="14">
        <v>14488.88889</v>
      </c>
      <c r="C39" s="14">
        <v>1.08</v>
      </c>
      <c r="D39" s="14">
        <v>17</v>
      </c>
      <c r="G39" s="14">
        <v>17</v>
      </c>
      <c r="H39" s="14">
        <v>25</v>
      </c>
      <c r="K39" s="14">
        <v>1.08</v>
      </c>
      <c r="O39" s="14">
        <v>14488.88889</v>
      </c>
      <c r="P39" s="15"/>
    </row>
    <row r="40" spans="1:16" x14ac:dyDescent="0.15">
      <c r="A40">
        <v>7</v>
      </c>
      <c r="B40" s="14">
        <v>9600</v>
      </c>
      <c r="C40" s="14">
        <v>1.04</v>
      </c>
      <c r="D40" s="14">
        <v>25</v>
      </c>
      <c r="G40" s="14">
        <v>25</v>
      </c>
      <c r="H40" s="14">
        <v>22</v>
      </c>
      <c r="K40" s="14">
        <v>1.04</v>
      </c>
      <c r="L40">
        <v>5.54</v>
      </c>
      <c r="O40" s="14">
        <v>9600</v>
      </c>
      <c r="P40" s="14">
        <v>29777.77778</v>
      </c>
    </row>
    <row r="41" spans="1:16" x14ac:dyDescent="0.15">
      <c r="A41">
        <v>7</v>
      </c>
      <c r="B41" s="14">
        <v>9155.5555559999993</v>
      </c>
      <c r="C41" s="14">
        <v>0.74</v>
      </c>
      <c r="D41" s="14">
        <v>3</v>
      </c>
      <c r="G41" s="14">
        <v>3</v>
      </c>
      <c r="H41" s="14">
        <v>45</v>
      </c>
      <c r="K41" s="14">
        <v>0.74</v>
      </c>
      <c r="L41" s="62">
        <v>18.170000000000002</v>
      </c>
      <c r="O41" s="14">
        <v>9155.5555559999993</v>
      </c>
      <c r="P41" s="60">
        <v>69752.484190000003</v>
      </c>
    </row>
    <row r="42" spans="1:16" x14ac:dyDescent="0.15">
      <c r="A42">
        <v>7</v>
      </c>
      <c r="B42" s="14">
        <v>3600</v>
      </c>
      <c r="C42" s="14">
        <v>3.21</v>
      </c>
      <c r="D42" s="14">
        <v>5</v>
      </c>
      <c r="G42" s="14">
        <v>5</v>
      </c>
      <c r="H42" s="14">
        <v>40</v>
      </c>
      <c r="K42" s="14">
        <v>3.21</v>
      </c>
      <c r="O42" s="14">
        <v>3600</v>
      </c>
      <c r="P42" s="15"/>
    </row>
    <row r="43" spans="1:16" x14ac:dyDescent="0.15">
      <c r="A43">
        <v>7</v>
      </c>
      <c r="B43" s="14">
        <v>9466.6666669999995</v>
      </c>
      <c r="C43" s="14">
        <v>0.43</v>
      </c>
      <c r="D43" s="14">
        <v>17</v>
      </c>
      <c r="G43" s="14">
        <v>17</v>
      </c>
      <c r="H43" s="14">
        <v>10</v>
      </c>
      <c r="K43" s="14">
        <v>0.43</v>
      </c>
      <c r="L43">
        <v>8.7100000000000009</v>
      </c>
      <c r="O43" s="14">
        <v>9466.6666669999995</v>
      </c>
      <c r="P43" s="14">
        <v>15147.82609</v>
      </c>
    </row>
    <row r="44" spans="1:16" x14ac:dyDescent="0.15">
      <c r="A44">
        <v>7</v>
      </c>
      <c r="B44" s="14">
        <v>2755.5555559999998</v>
      </c>
      <c r="C44" s="14">
        <v>0.54</v>
      </c>
      <c r="D44" s="14">
        <v>2</v>
      </c>
      <c r="G44" s="14">
        <v>2</v>
      </c>
      <c r="H44" s="14">
        <v>15</v>
      </c>
      <c r="K44" s="14">
        <v>0.54</v>
      </c>
      <c r="L44">
        <v>5.27</v>
      </c>
      <c r="O44" s="14">
        <v>2755.5555559999998</v>
      </c>
      <c r="P44" s="14">
        <v>28825.599999999999</v>
      </c>
    </row>
    <row r="45" spans="1:16" x14ac:dyDescent="0.15">
      <c r="A45">
        <v>7</v>
      </c>
      <c r="B45" s="20">
        <v>7244.4444439999997</v>
      </c>
      <c r="C45" s="20">
        <v>1.1200000000000001</v>
      </c>
      <c r="D45" s="20">
        <v>1</v>
      </c>
      <c r="G45" s="20">
        <v>1</v>
      </c>
      <c r="H45" s="14">
        <v>15</v>
      </c>
      <c r="K45" s="20">
        <v>1.1200000000000001</v>
      </c>
      <c r="O45" s="20">
        <v>7244.4444439999997</v>
      </c>
      <c r="P45" s="15"/>
    </row>
    <row r="46" spans="1:16" x14ac:dyDescent="0.15">
      <c r="A46">
        <v>4</v>
      </c>
      <c r="B46" s="22">
        <v>8800</v>
      </c>
      <c r="C46" s="22">
        <v>1.61</v>
      </c>
      <c r="D46" s="22">
        <v>25</v>
      </c>
      <c r="G46" s="22">
        <v>25</v>
      </c>
      <c r="H46" s="14">
        <v>22</v>
      </c>
      <c r="K46" s="22">
        <v>1.61</v>
      </c>
      <c r="L46">
        <v>4.95</v>
      </c>
      <c r="O46" s="22">
        <v>8800</v>
      </c>
      <c r="P46" s="14">
        <v>13600</v>
      </c>
    </row>
    <row r="47" spans="1:16" x14ac:dyDescent="0.15">
      <c r="A47">
        <v>4</v>
      </c>
      <c r="B47" s="14">
        <v>2222.2222219999999</v>
      </c>
      <c r="C47" s="14">
        <v>1.72</v>
      </c>
      <c r="D47" s="14">
        <v>5</v>
      </c>
      <c r="G47" s="14">
        <v>5</v>
      </c>
      <c r="H47" s="14">
        <v>30</v>
      </c>
      <c r="K47" s="14">
        <v>1.72</v>
      </c>
      <c r="L47">
        <v>7.58</v>
      </c>
      <c r="O47" s="14">
        <v>2222.2222219999999</v>
      </c>
      <c r="P47" s="14">
        <v>26757.26496</v>
      </c>
    </row>
    <row r="48" spans="1:16" x14ac:dyDescent="0.15">
      <c r="A48">
        <v>4</v>
      </c>
      <c r="B48" s="14">
        <v>933.33333330000005</v>
      </c>
      <c r="C48" s="14">
        <v>0.32</v>
      </c>
      <c r="D48" s="14">
        <v>2</v>
      </c>
      <c r="G48" s="14">
        <v>2</v>
      </c>
      <c r="H48" s="14">
        <v>25</v>
      </c>
      <c r="K48" s="14">
        <v>0.32</v>
      </c>
      <c r="L48" s="62">
        <v>15.55</v>
      </c>
      <c r="O48" s="14">
        <v>933.33333330000005</v>
      </c>
      <c r="P48" s="14">
        <v>29067.29264</v>
      </c>
    </row>
    <row r="49" spans="1:16" x14ac:dyDescent="0.15">
      <c r="A49">
        <v>4</v>
      </c>
      <c r="B49" s="14">
        <v>1422.2222220000001</v>
      </c>
      <c r="C49" s="14">
        <v>0.36</v>
      </c>
      <c r="D49" s="14">
        <v>2</v>
      </c>
      <c r="G49" s="14">
        <v>2</v>
      </c>
      <c r="H49" s="14">
        <v>5</v>
      </c>
      <c r="K49" s="14">
        <v>0.36</v>
      </c>
      <c r="O49" s="14">
        <v>1422.2222220000001</v>
      </c>
      <c r="P49" s="15"/>
    </row>
    <row r="50" spans="1:16" x14ac:dyDescent="0.15">
      <c r="A50">
        <v>4</v>
      </c>
      <c r="B50" s="14">
        <v>3555.5555559999998</v>
      </c>
      <c r="C50" s="14">
        <v>1.63</v>
      </c>
      <c r="H50" s="14">
        <v>22</v>
      </c>
      <c r="K50" s="14">
        <v>1.63</v>
      </c>
      <c r="O50" s="14">
        <v>3555.5555559999998</v>
      </c>
      <c r="P50" s="15"/>
    </row>
    <row r="51" spans="1:16" x14ac:dyDescent="0.15">
      <c r="A51">
        <v>4</v>
      </c>
      <c r="B51" s="14">
        <v>11244.444439999999</v>
      </c>
      <c r="C51" s="14">
        <v>1.76</v>
      </c>
      <c r="D51" s="14">
        <v>17</v>
      </c>
      <c r="G51" s="14">
        <v>17</v>
      </c>
      <c r="H51" s="14">
        <v>6</v>
      </c>
      <c r="K51" s="14">
        <v>1.76</v>
      </c>
      <c r="O51" s="14">
        <v>11244.444439999999</v>
      </c>
      <c r="P51" s="15"/>
    </row>
    <row r="52" spans="1:16" x14ac:dyDescent="0.15">
      <c r="A52">
        <v>4</v>
      </c>
      <c r="B52" s="14">
        <v>1066.666667</v>
      </c>
      <c r="C52" s="14">
        <v>0.31</v>
      </c>
      <c r="D52" s="14">
        <v>2</v>
      </c>
      <c r="G52" s="14">
        <v>2</v>
      </c>
      <c r="H52" s="14">
        <v>5</v>
      </c>
      <c r="K52" s="14">
        <v>0.31</v>
      </c>
      <c r="O52" s="14">
        <v>1066.666667</v>
      </c>
      <c r="P52" s="15"/>
    </row>
    <row r="53" spans="1:16" x14ac:dyDescent="0.15">
      <c r="A53">
        <v>4</v>
      </c>
      <c r="B53" s="14">
        <v>4044.4444440000002</v>
      </c>
      <c r="C53" s="14">
        <v>1.62</v>
      </c>
      <c r="D53" s="14">
        <v>25</v>
      </c>
      <c r="G53" s="14">
        <v>25</v>
      </c>
      <c r="H53" s="20">
        <v>7</v>
      </c>
      <c r="K53" s="14">
        <v>1.62</v>
      </c>
      <c r="L53">
        <v>2.62</v>
      </c>
      <c r="O53" s="14">
        <v>4044.4444440000002</v>
      </c>
      <c r="P53" s="19">
        <v>15200</v>
      </c>
    </row>
    <row r="54" spans="1:16" x14ac:dyDescent="0.15">
      <c r="A54">
        <v>4</v>
      </c>
      <c r="B54" s="14">
        <v>533.33333330000005</v>
      </c>
      <c r="C54" s="14">
        <v>0.24</v>
      </c>
      <c r="D54" s="14">
        <v>2</v>
      </c>
      <c r="G54" s="14">
        <v>2</v>
      </c>
      <c r="K54" s="14">
        <v>0.24</v>
      </c>
      <c r="O54" s="14">
        <v>533.33333330000005</v>
      </c>
    </row>
    <row r="55" spans="1:16" x14ac:dyDescent="0.15">
      <c r="A55">
        <v>4</v>
      </c>
      <c r="B55" s="14">
        <v>888.88888889999998</v>
      </c>
      <c r="C55" s="14">
        <v>0.09</v>
      </c>
      <c r="D55" s="14">
        <v>2</v>
      </c>
      <c r="G55" s="14">
        <v>2</v>
      </c>
      <c r="K55" s="14">
        <v>0.09</v>
      </c>
      <c r="O55" s="14">
        <v>888.88888889999998</v>
      </c>
    </row>
    <row r="56" spans="1:16" x14ac:dyDescent="0.15">
      <c r="A56">
        <v>4</v>
      </c>
      <c r="B56" s="14">
        <v>666.66666669999995</v>
      </c>
      <c r="C56" s="14">
        <v>0.11</v>
      </c>
      <c r="D56" s="14">
        <v>2</v>
      </c>
      <c r="G56" s="14">
        <v>2</v>
      </c>
      <c r="K56" s="14">
        <v>0.11</v>
      </c>
      <c r="O56" s="14">
        <v>666.66666669999995</v>
      </c>
    </row>
    <row r="57" spans="1:16" x14ac:dyDescent="0.15">
      <c r="A57">
        <v>5</v>
      </c>
      <c r="B57" s="22">
        <v>8311</v>
      </c>
      <c r="C57" s="22">
        <v>1.2</v>
      </c>
      <c r="D57" s="22">
        <v>10</v>
      </c>
      <c r="G57" s="22">
        <v>10</v>
      </c>
      <c r="K57" s="22">
        <v>1.2</v>
      </c>
      <c r="O57" s="22">
        <v>8311</v>
      </c>
    </row>
    <row r="58" spans="1:16" x14ac:dyDescent="0.15">
      <c r="A58">
        <v>5</v>
      </c>
      <c r="B58" s="14">
        <v>6444</v>
      </c>
      <c r="C58" s="14">
        <v>1.41</v>
      </c>
      <c r="D58" s="14">
        <v>5</v>
      </c>
      <c r="G58" s="14">
        <v>5</v>
      </c>
      <c r="K58" s="14">
        <v>1.41</v>
      </c>
      <c r="O58" s="14">
        <v>6444</v>
      </c>
    </row>
    <row r="59" spans="1:16" x14ac:dyDescent="0.15">
      <c r="A59">
        <v>5</v>
      </c>
      <c r="B59" s="14">
        <v>8978</v>
      </c>
      <c r="C59" s="14">
        <v>0.8</v>
      </c>
      <c r="D59" s="14">
        <v>3</v>
      </c>
      <c r="G59" s="14">
        <v>3</v>
      </c>
      <c r="K59" s="14">
        <v>0.8</v>
      </c>
      <c r="O59" s="14">
        <v>8978</v>
      </c>
    </row>
    <row r="60" spans="1:16" x14ac:dyDescent="0.15">
      <c r="A60">
        <v>5</v>
      </c>
      <c r="B60" s="14">
        <v>1289</v>
      </c>
      <c r="C60" s="14">
        <v>0.33</v>
      </c>
      <c r="D60" s="14">
        <v>1</v>
      </c>
      <c r="G60" s="14">
        <v>1</v>
      </c>
      <c r="K60" s="14">
        <v>0.33</v>
      </c>
      <c r="O60" s="14">
        <v>1289</v>
      </c>
    </row>
    <row r="61" spans="1:16" x14ac:dyDescent="0.15">
      <c r="A61">
        <v>5</v>
      </c>
      <c r="B61" s="14">
        <v>1956</v>
      </c>
      <c r="C61" s="14">
        <v>1.02</v>
      </c>
      <c r="D61" s="14">
        <v>1</v>
      </c>
      <c r="G61" s="14">
        <v>1</v>
      </c>
      <c r="K61" s="14">
        <v>1.02</v>
      </c>
      <c r="O61" s="14">
        <v>1956</v>
      </c>
    </row>
    <row r="62" spans="1:16" x14ac:dyDescent="0.15">
      <c r="A62">
        <v>5</v>
      </c>
      <c r="B62" s="14">
        <v>711</v>
      </c>
      <c r="C62" s="14">
        <v>0.69</v>
      </c>
      <c r="D62" s="14">
        <v>1</v>
      </c>
      <c r="G62" s="14">
        <v>1</v>
      </c>
      <c r="K62" s="14">
        <v>0.69</v>
      </c>
      <c r="O62" s="14">
        <v>711</v>
      </c>
    </row>
    <row r="63" spans="1:16" x14ac:dyDescent="0.15">
      <c r="A63">
        <v>5</v>
      </c>
      <c r="B63" s="14">
        <v>1422</v>
      </c>
      <c r="C63" s="14"/>
      <c r="D63" s="14"/>
      <c r="G63" s="14"/>
      <c r="K63" s="14"/>
      <c r="O63" s="14">
        <v>1422</v>
      </c>
    </row>
    <row r="64" spans="1:16" x14ac:dyDescent="0.15">
      <c r="A64">
        <v>5</v>
      </c>
      <c r="B64" s="14">
        <v>2800</v>
      </c>
      <c r="C64" s="14">
        <v>7.0000000000000007E-2</v>
      </c>
      <c r="D64" s="14">
        <v>4</v>
      </c>
      <c r="G64" s="14">
        <v>4</v>
      </c>
      <c r="K64" s="14">
        <v>7.0000000000000007E-2</v>
      </c>
      <c r="O64" s="14">
        <v>2800</v>
      </c>
    </row>
    <row r="65" spans="1:15" x14ac:dyDescent="0.15">
      <c r="A65">
        <v>5</v>
      </c>
      <c r="B65" s="14">
        <v>1956</v>
      </c>
      <c r="C65" s="14">
        <v>0.48</v>
      </c>
      <c r="D65" s="14">
        <v>6</v>
      </c>
      <c r="G65" s="14">
        <v>6</v>
      </c>
      <c r="K65" s="14">
        <v>0.48</v>
      </c>
      <c r="O65" s="14">
        <v>1956</v>
      </c>
    </row>
    <row r="66" spans="1:15" x14ac:dyDescent="0.15">
      <c r="A66">
        <v>5</v>
      </c>
      <c r="B66" s="20">
        <v>2311</v>
      </c>
      <c r="C66" s="20">
        <v>0.61</v>
      </c>
      <c r="D66" s="20"/>
      <c r="G66" s="20"/>
      <c r="K66" s="20">
        <v>0.61</v>
      </c>
      <c r="O66" s="20">
        <v>2311</v>
      </c>
    </row>
    <row r="67" spans="1:15" x14ac:dyDescent="0.15">
      <c r="A67">
        <v>6</v>
      </c>
      <c r="B67" s="14">
        <v>3022.2222219999999</v>
      </c>
      <c r="C67" s="14">
        <v>0.54</v>
      </c>
      <c r="D67" s="14">
        <v>5</v>
      </c>
      <c r="G67" s="14">
        <v>5</v>
      </c>
      <c r="K67" s="14">
        <v>0.54</v>
      </c>
      <c r="O67" s="14">
        <v>3022.2222219999999</v>
      </c>
    </row>
    <row r="68" spans="1:15" x14ac:dyDescent="0.15">
      <c r="A68">
        <v>6</v>
      </c>
      <c r="B68" s="14">
        <v>1733.333333</v>
      </c>
      <c r="C68" s="14">
        <v>0.45</v>
      </c>
      <c r="D68" s="14">
        <v>5</v>
      </c>
      <c r="G68" s="14">
        <v>5</v>
      </c>
      <c r="K68" s="14">
        <v>0.45</v>
      </c>
      <c r="O68" s="14">
        <v>1733.333333</v>
      </c>
    </row>
    <row r="69" spans="1:15" x14ac:dyDescent="0.15">
      <c r="A69">
        <v>6</v>
      </c>
      <c r="B69" s="60">
        <v>41111.111109999998</v>
      </c>
      <c r="C69" s="17">
        <v>2.1</v>
      </c>
      <c r="D69" s="14">
        <v>17</v>
      </c>
      <c r="G69" s="14">
        <v>17</v>
      </c>
      <c r="K69" s="17">
        <v>2.1</v>
      </c>
      <c r="O69" s="60">
        <v>41111.111109999998</v>
      </c>
    </row>
    <row r="70" spans="1:15" x14ac:dyDescent="0.15">
      <c r="A70">
        <v>6</v>
      </c>
      <c r="B70" s="14">
        <v>3777.7777780000001</v>
      </c>
      <c r="C70" s="14">
        <v>0.47</v>
      </c>
      <c r="D70" s="14">
        <v>7</v>
      </c>
      <c r="G70" s="14">
        <v>7</v>
      </c>
      <c r="K70" s="14">
        <v>0.47</v>
      </c>
      <c r="O70" s="14">
        <v>3777.7777780000001</v>
      </c>
    </row>
    <row r="71" spans="1:15" x14ac:dyDescent="0.15">
      <c r="A71">
        <v>6</v>
      </c>
      <c r="B71" s="60">
        <v>80000</v>
      </c>
      <c r="C71" s="17">
        <v>3.1</v>
      </c>
      <c r="D71" s="14">
        <v>5</v>
      </c>
      <c r="G71" s="14">
        <v>5</v>
      </c>
      <c r="K71" s="17">
        <v>3.1</v>
      </c>
      <c r="O71" s="60">
        <v>80000</v>
      </c>
    </row>
    <row r="72" spans="1:15" x14ac:dyDescent="0.15">
      <c r="A72">
        <v>6</v>
      </c>
      <c r="B72" s="14">
        <v>17279.526539999999</v>
      </c>
      <c r="C72" s="14">
        <v>2.1295161290000002</v>
      </c>
      <c r="D72" s="14">
        <v>5</v>
      </c>
      <c r="G72" s="14">
        <v>5</v>
      </c>
      <c r="K72" s="14">
        <v>2.1295161290000002</v>
      </c>
      <c r="O72" s="14">
        <v>17279.526539999999</v>
      </c>
    </row>
    <row r="73" spans="1:15" x14ac:dyDescent="0.15">
      <c r="A73">
        <v>6</v>
      </c>
      <c r="B73" s="14">
        <v>7288.8888889999998</v>
      </c>
      <c r="C73" s="14">
        <v>1.97</v>
      </c>
      <c r="D73" s="14">
        <v>25</v>
      </c>
      <c r="G73" s="14">
        <v>25</v>
      </c>
      <c r="K73" s="14">
        <v>1.97</v>
      </c>
      <c r="O73" s="14">
        <v>7288.8888889999998</v>
      </c>
    </row>
    <row r="74" spans="1:15" x14ac:dyDescent="0.15">
      <c r="A74">
        <v>6</v>
      </c>
      <c r="B74" s="17">
        <v>17007.198520000002</v>
      </c>
      <c r="C74" s="17">
        <v>3.813894737</v>
      </c>
      <c r="D74" s="14">
        <v>5</v>
      </c>
      <c r="G74" s="14">
        <v>5</v>
      </c>
      <c r="K74" s="17">
        <v>3.813894737</v>
      </c>
      <c r="O74" s="17">
        <v>17007.198520000002</v>
      </c>
    </row>
    <row r="75" spans="1:15" x14ac:dyDescent="0.15">
      <c r="A75">
        <v>6</v>
      </c>
      <c r="B75" s="17">
        <v>10076.02274</v>
      </c>
      <c r="C75" s="17">
        <v>2.491404255</v>
      </c>
      <c r="D75" s="14">
        <v>17</v>
      </c>
      <c r="G75" s="14">
        <v>17</v>
      </c>
      <c r="K75" s="17">
        <v>2.491404255</v>
      </c>
      <c r="O75" s="17">
        <v>10076.02274</v>
      </c>
    </row>
    <row r="76" spans="1:15" x14ac:dyDescent="0.15">
      <c r="A76">
        <v>6</v>
      </c>
      <c r="B76" s="17">
        <v>19706.235629999999</v>
      </c>
      <c r="C76" s="17">
        <v>2.5630967739999999</v>
      </c>
      <c r="D76" s="14">
        <v>5</v>
      </c>
      <c r="G76" s="14">
        <v>5</v>
      </c>
      <c r="K76" s="17">
        <v>2.5630967739999999</v>
      </c>
      <c r="O76" s="17">
        <v>19706.235629999999</v>
      </c>
    </row>
    <row r="77" spans="1:15" x14ac:dyDescent="0.15">
      <c r="B77" s="14"/>
    </row>
    <row r="78" spans="1:15" x14ac:dyDescent="0.15">
      <c r="B78" s="14"/>
    </row>
    <row r="79" spans="1:15" x14ac:dyDescent="0.15">
      <c r="B79" t="s">
        <v>60</v>
      </c>
      <c r="C79" t="s">
        <v>61</v>
      </c>
      <c r="D79" t="s">
        <v>62</v>
      </c>
    </row>
    <row r="80" spans="1:15" x14ac:dyDescent="0.15">
      <c r="A80">
        <v>9</v>
      </c>
      <c r="B80" s="17">
        <v>50405.228759999998</v>
      </c>
      <c r="C80" s="60">
        <v>19.28</v>
      </c>
      <c r="D80" s="60">
        <v>60</v>
      </c>
    </row>
    <row r="81" spans="1:4" x14ac:dyDescent="0.15">
      <c r="A81">
        <v>9</v>
      </c>
      <c r="B81" s="60">
        <v>64933.333330000001</v>
      </c>
      <c r="C81" s="14">
        <v>5.71</v>
      </c>
      <c r="D81" s="14">
        <v>12</v>
      </c>
    </row>
    <row r="82" spans="1:4" x14ac:dyDescent="0.15">
      <c r="A82">
        <v>9</v>
      </c>
      <c r="B82" s="17">
        <v>33858.85886</v>
      </c>
      <c r="C82" s="17">
        <v>13.75</v>
      </c>
      <c r="D82" s="14">
        <v>25</v>
      </c>
    </row>
    <row r="83" spans="1:4" x14ac:dyDescent="0.15">
      <c r="A83">
        <v>9</v>
      </c>
      <c r="B83" s="17">
        <v>31511.111110000002</v>
      </c>
      <c r="C83" s="17">
        <v>7.09</v>
      </c>
      <c r="D83" s="14">
        <v>17</v>
      </c>
    </row>
    <row r="84" spans="1:4" x14ac:dyDescent="0.15">
      <c r="A84">
        <v>9</v>
      </c>
      <c r="B84" s="17">
        <v>46981.684979999998</v>
      </c>
      <c r="C84" s="17">
        <v>7.95</v>
      </c>
      <c r="D84" s="14">
        <v>20</v>
      </c>
    </row>
    <row r="85" spans="1:4" x14ac:dyDescent="0.15">
      <c r="A85">
        <v>9</v>
      </c>
      <c r="B85" s="17">
        <v>15824.24242</v>
      </c>
      <c r="C85" s="17">
        <v>3.73</v>
      </c>
      <c r="D85" s="14">
        <v>7</v>
      </c>
    </row>
    <row r="86" spans="1:4" x14ac:dyDescent="0.15">
      <c r="A86">
        <v>9</v>
      </c>
      <c r="B86" s="14">
        <v>16977.77778</v>
      </c>
      <c r="C86" s="14">
        <v>0.73</v>
      </c>
      <c r="D86" s="14">
        <v>2</v>
      </c>
    </row>
    <row r="87" spans="1:4" x14ac:dyDescent="0.15">
      <c r="A87">
        <v>9</v>
      </c>
      <c r="B87" s="17">
        <v>22266.666669999999</v>
      </c>
      <c r="C87" s="17">
        <v>6.68</v>
      </c>
      <c r="D87" s="14">
        <v>17</v>
      </c>
    </row>
    <row r="88" spans="1:4" x14ac:dyDescent="0.15">
      <c r="A88">
        <v>9</v>
      </c>
      <c r="B88" s="17">
        <v>8279.3650789999992</v>
      </c>
      <c r="C88" s="17">
        <v>1.63</v>
      </c>
      <c r="D88" s="14">
        <v>5</v>
      </c>
    </row>
    <row r="89" spans="1:4" x14ac:dyDescent="0.15">
      <c r="A89">
        <v>9</v>
      </c>
      <c r="B89" s="14">
        <v>17333.333330000001</v>
      </c>
      <c r="C89" s="14">
        <v>1.06</v>
      </c>
      <c r="D89" s="14">
        <v>5</v>
      </c>
    </row>
    <row r="90" spans="1:4" x14ac:dyDescent="0.15">
      <c r="A90">
        <v>9</v>
      </c>
      <c r="B90" s="14">
        <v>1644.444444</v>
      </c>
      <c r="C90" s="14">
        <v>0.08</v>
      </c>
      <c r="D90" s="14">
        <v>1</v>
      </c>
    </row>
    <row r="91" spans="1:4" x14ac:dyDescent="0.15">
      <c r="A91">
        <v>9</v>
      </c>
      <c r="B91" s="17">
        <v>52385.185189999997</v>
      </c>
      <c r="C91" s="17">
        <v>6.8</v>
      </c>
      <c r="D91" s="14">
        <v>17</v>
      </c>
    </row>
    <row r="92" spans="1:4" x14ac:dyDescent="0.15">
      <c r="A92">
        <v>9</v>
      </c>
      <c r="B92" s="34">
        <v>30344.827590000001</v>
      </c>
      <c r="C92" s="34">
        <v>5.5</v>
      </c>
      <c r="D92" s="20">
        <v>12</v>
      </c>
    </row>
    <row r="93" spans="1:4" x14ac:dyDescent="0.15">
      <c r="A93">
        <v>10</v>
      </c>
      <c r="D93" s="14">
        <v>25</v>
      </c>
    </row>
    <row r="94" spans="1:4" x14ac:dyDescent="0.15">
      <c r="A94">
        <v>10</v>
      </c>
      <c r="D94" s="14">
        <v>17</v>
      </c>
    </row>
    <row r="95" spans="1:4" x14ac:dyDescent="0.15">
      <c r="A95">
        <v>10</v>
      </c>
      <c r="B95" s="18">
        <v>28977.77778</v>
      </c>
      <c r="C95" s="18">
        <v>6.74</v>
      </c>
      <c r="D95" s="14">
        <v>38</v>
      </c>
    </row>
    <row r="96" spans="1:4" x14ac:dyDescent="0.15">
      <c r="A96">
        <v>10</v>
      </c>
      <c r="B96" s="14"/>
      <c r="D96" s="14">
        <v>17</v>
      </c>
    </row>
    <row r="97" spans="1:4" x14ac:dyDescent="0.15">
      <c r="A97">
        <v>10</v>
      </c>
      <c r="B97" s="18">
        <v>31466.666669999999</v>
      </c>
      <c r="C97" s="18">
        <v>5.05</v>
      </c>
      <c r="D97" s="14">
        <v>7</v>
      </c>
    </row>
    <row r="98" spans="1:4" x14ac:dyDescent="0.15">
      <c r="A98">
        <v>10</v>
      </c>
      <c r="B98" s="18">
        <v>59600</v>
      </c>
      <c r="C98" s="18">
        <v>6.58</v>
      </c>
      <c r="D98" s="14">
        <v>38</v>
      </c>
    </row>
    <row r="99" spans="1:4" x14ac:dyDescent="0.15">
      <c r="A99">
        <v>10</v>
      </c>
      <c r="B99" s="14"/>
      <c r="D99" s="14">
        <v>17</v>
      </c>
    </row>
    <row r="100" spans="1:4" x14ac:dyDescent="0.15">
      <c r="A100">
        <v>10</v>
      </c>
      <c r="B100" s="18">
        <v>43466.666669999999</v>
      </c>
      <c r="C100" s="18">
        <v>8.1</v>
      </c>
      <c r="D100" s="14">
        <v>25</v>
      </c>
    </row>
    <row r="101" spans="1:4" x14ac:dyDescent="0.15">
      <c r="A101">
        <v>10</v>
      </c>
      <c r="B101" s="16"/>
      <c r="C101" s="15"/>
      <c r="D101" s="14">
        <v>17</v>
      </c>
    </row>
    <row r="102" spans="1:4" x14ac:dyDescent="0.15">
      <c r="A102">
        <v>10</v>
      </c>
      <c r="B102" s="16"/>
      <c r="C102" s="15"/>
      <c r="D102" s="14">
        <v>25</v>
      </c>
    </row>
    <row r="103" spans="1:4" x14ac:dyDescent="0.15">
      <c r="A103">
        <v>10</v>
      </c>
      <c r="B103" s="16"/>
      <c r="C103" s="15"/>
      <c r="D103" s="14">
        <v>17</v>
      </c>
    </row>
    <row r="104" spans="1:4" x14ac:dyDescent="0.15">
      <c r="A104">
        <v>10</v>
      </c>
      <c r="B104" s="16"/>
      <c r="C104" s="15"/>
      <c r="D104" s="14">
        <v>25</v>
      </c>
    </row>
    <row r="105" spans="1:4" x14ac:dyDescent="0.15">
      <c r="A105">
        <v>10</v>
      </c>
      <c r="B105" s="14">
        <v>25822.22222</v>
      </c>
      <c r="C105" s="17">
        <v>6.5238095238095237</v>
      </c>
      <c r="D105" s="14">
        <v>17</v>
      </c>
    </row>
    <row r="106" spans="1:4" x14ac:dyDescent="0.15">
      <c r="A106">
        <v>10</v>
      </c>
      <c r="B106" s="14"/>
      <c r="D106" s="14">
        <v>12</v>
      </c>
    </row>
    <row r="107" spans="1:4" x14ac:dyDescent="0.15">
      <c r="A107">
        <v>10</v>
      </c>
      <c r="B107" s="26">
        <v>12400</v>
      </c>
      <c r="C107" s="26">
        <v>1.57</v>
      </c>
      <c r="D107" s="20">
        <v>45</v>
      </c>
    </row>
    <row r="108" spans="1:4" x14ac:dyDescent="0.15">
      <c r="A108">
        <v>11</v>
      </c>
      <c r="B108" s="22">
        <v>2711.1111110000002</v>
      </c>
      <c r="C108" s="22">
        <v>0.71</v>
      </c>
      <c r="D108" s="22">
        <v>2</v>
      </c>
    </row>
    <row r="109" spans="1:4" x14ac:dyDescent="0.15">
      <c r="A109">
        <v>11</v>
      </c>
      <c r="B109" s="17">
        <v>3723.8095239999998</v>
      </c>
      <c r="C109" s="17">
        <v>1.1335714287090766</v>
      </c>
      <c r="D109" s="14">
        <v>15</v>
      </c>
    </row>
    <row r="110" spans="1:4" x14ac:dyDescent="0.15">
      <c r="A110">
        <v>11</v>
      </c>
      <c r="B110" s="17">
        <v>5872.9411760000003</v>
      </c>
      <c r="C110" s="17">
        <v>2.3400000003083292</v>
      </c>
      <c r="D110" s="14">
        <v>9</v>
      </c>
    </row>
    <row r="111" spans="1:4" x14ac:dyDescent="0.15">
      <c r="A111">
        <v>11</v>
      </c>
      <c r="B111" s="17">
        <v>24948.57143</v>
      </c>
      <c r="C111" s="17">
        <v>4.7571428573739185</v>
      </c>
      <c r="D111" s="14">
        <v>33</v>
      </c>
    </row>
    <row r="112" spans="1:4" x14ac:dyDescent="0.15">
      <c r="A112">
        <v>11</v>
      </c>
      <c r="B112" s="17">
        <v>26851.851849999999</v>
      </c>
      <c r="C112" s="60">
        <v>46.319444443318631</v>
      </c>
      <c r="D112" s="14">
        <v>19</v>
      </c>
    </row>
    <row r="113" spans="1:6" x14ac:dyDescent="0.15">
      <c r="A113">
        <v>11</v>
      </c>
      <c r="B113" s="14">
        <v>14088.88889</v>
      </c>
      <c r="C113" s="14">
        <v>5</v>
      </c>
      <c r="D113" s="14">
        <v>17</v>
      </c>
    </row>
    <row r="114" spans="1:6" x14ac:dyDescent="0.15">
      <c r="A114">
        <v>11</v>
      </c>
      <c r="B114" s="14">
        <v>24044.444439999999</v>
      </c>
      <c r="C114" s="14">
        <v>6</v>
      </c>
      <c r="D114" s="14">
        <v>29</v>
      </c>
    </row>
    <row r="115" spans="1:6" x14ac:dyDescent="0.15">
      <c r="A115">
        <v>11</v>
      </c>
      <c r="B115" s="17">
        <v>33333.333330000001</v>
      </c>
      <c r="C115" s="17">
        <v>8.6999999999999993</v>
      </c>
      <c r="D115" s="14">
        <v>25</v>
      </c>
    </row>
    <row r="116" spans="1:6" x14ac:dyDescent="0.15">
      <c r="A116">
        <v>11</v>
      </c>
      <c r="B116" s="17">
        <v>12622.22222</v>
      </c>
      <c r="C116" s="17">
        <v>7.3028571425441626</v>
      </c>
      <c r="D116" s="14">
        <v>25</v>
      </c>
    </row>
    <row r="117" spans="1:6" x14ac:dyDescent="0.15">
      <c r="A117">
        <v>8</v>
      </c>
      <c r="B117" s="15"/>
      <c r="D117" s="14">
        <v>25</v>
      </c>
    </row>
    <row r="118" spans="1:6" x14ac:dyDescent="0.15">
      <c r="A118">
        <v>8</v>
      </c>
      <c r="B118" s="14">
        <v>29777.77778</v>
      </c>
      <c r="C118">
        <v>5.54</v>
      </c>
      <c r="D118" s="14">
        <v>22</v>
      </c>
    </row>
    <row r="119" spans="1:6" x14ac:dyDescent="0.15">
      <c r="A119">
        <v>8</v>
      </c>
      <c r="B119" s="60">
        <v>69752.484190000003</v>
      </c>
      <c r="C119" s="62">
        <v>18.170000000000002</v>
      </c>
      <c r="D119" s="14">
        <v>45</v>
      </c>
    </row>
    <row r="120" spans="1:6" x14ac:dyDescent="0.15">
      <c r="A120">
        <v>8</v>
      </c>
      <c r="B120" s="15"/>
      <c r="D120" s="14">
        <v>40</v>
      </c>
    </row>
    <row r="121" spans="1:6" x14ac:dyDescent="0.15">
      <c r="A121">
        <v>8</v>
      </c>
      <c r="B121" s="14">
        <v>15147.82609</v>
      </c>
      <c r="C121">
        <v>8.7100000000000009</v>
      </c>
      <c r="D121" s="14">
        <v>10</v>
      </c>
    </row>
    <row r="122" spans="1:6" x14ac:dyDescent="0.15">
      <c r="A122">
        <v>8</v>
      </c>
      <c r="B122" s="14">
        <v>28825.599999999999</v>
      </c>
      <c r="C122">
        <v>5.27</v>
      </c>
      <c r="D122" s="14">
        <v>15</v>
      </c>
    </row>
    <row r="123" spans="1:6" x14ac:dyDescent="0.15">
      <c r="A123">
        <v>8</v>
      </c>
      <c r="B123" s="15"/>
      <c r="D123" s="14">
        <v>15</v>
      </c>
      <c r="F123" s="8"/>
    </row>
    <row r="124" spans="1:6" x14ac:dyDescent="0.15">
      <c r="A124">
        <v>8</v>
      </c>
      <c r="B124" s="14">
        <v>13600</v>
      </c>
      <c r="C124">
        <v>4.95</v>
      </c>
      <c r="D124" s="14">
        <v>22</v>
      </c>
    </row>
    <row r="125" spans="1:6" x14ac:dyDescent="0.15">
      <c r="A125">
        <v>8</v>
      </c>
      <c r="B125" s="14">
        <v>26757.26496</v>
      </c>
      <c r="C125">
        <v>7.58</v>
      </c>
      <c r="D125" s="14">
        <v>30</v>
      </c>
    </row>
    <row r="126" spans="1:6" x14ac:dyDescent="0.15">
      <c r="A126">
        <v>8</v>
      </c>
      <c r="B126" s="14">
        <v>29067.29264</v>
      </c>
      <c r="C126" s="62">
        <v>15.55</v>
      </c>
      <c r="D126" s="14">
        <v>25</v>
      </c>
    </row>
    <row r="127" spans="1:6" x14ac:dyDescent="0.15">
      <c r="A127">
        <v>8</v>
      </c>
      <c r="B127" s="15"/>
      <c r="D127" s="14">
        <v>5</v>
      </c>
    </row>
    <row r="128" spans="1:6" x14ac:dyDescent="0.15">
      <c r="A128">
        <v>8</v>
      </c>
      <c r="B128" s="15"/>
      <c r="D128" s="14">
        <v>22</v>
      </c>
    </row>
    <row r="129" spans="1:4" x14ac:dyDescent="0.15">
      <c r="A129">
        <v>8</v>
      </c>
      <c r="B129" s="15"/>
      <c r="D129" s="14">
        <v>6</v>
      </c>
    </row>
    <row r="130" spans="1:4" x14ac:dyDescent="0.15">
      <c r="A130">
        <v>8</v>
      </c>
      <c r="B130" s="15"/>
      <c r="D130" s="14">
        <v>5</v>
      </c>
    </row>
    <row r="131" spans="1:4" x14ac:dyDescent="0.15">
      <c r="A131">
        <v>8</v>
      </c>
      <c r="B131" s="19">
        <v>15200</v>
      </c>
      <c r="C131">
        <v>2.62</v>
      </c>
      <c r="D131" s="20">
        <v>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C65FD-5843-4080-ACB1-81366B594FA7}">
  <dimension ref="A1:Q166"/>
  <sheetViews>
    <sheetView topLeftCell="G1" zoomScale="90" workbookViewId="0">
      <pane ySplit="1" topLeftCell="A30" activePane="bottomLeft" state="frozen"/>
      <selection pane="bottomLeft" activeCell="A14" sqref="A14"/>
    </sheetView>
  </sheetViews>
  <sheetFormatPr baseColWidth="10" defaultColWidth="11.5" defaultRowHeight="12.75" customHeight="1" x14ac:dyDescent="0.15"/>
  <cols>
    <col min="1" max="1" width="43.6640625" customWidth="1"/>
    <col min="2" max="2" width="7.83203125" customWidth="1"/>
    <col min="3" max="3" width="8.5" customWidth="1"/>
    <col min="4" max="4" width="9.1640625"/>
    <col min="5" max="6" width="9.1640625" style="10"/>
    <col min="7" max="7" width="9.1640625"/>
    <col min="8" max="8" width="16.83203125" customWidth="1"/>
    <col min="9" max="9" width="15.6640625" customWidth="1"/>
    <col min="10" max="10" width="15.33203125" customWidth="1"/>
    <col min="11" max="11" width="13.5" customWidth="1"/>
    <col min="12" max="12" width="19.1640625" customWidth="1"/>
    <col min="13" max="13" width="18.5" customWidth="1"/>
    <col min="14" max="14" width="36" customWidth="1"/>
  </cols>
  <sheetData>
    <row r="1" spans="1:17" ht="14" x14ac:dyDescent="0.2">
      <c r="A1" s="74" t="s">
        <v>34</v>
      </c>
      <c r="B1" s="75"/>
      <c r="C1" s="9"/>
      <c r="D1" s="8" t="s">
        <v>35</v>
      </c>
      <c r="E1" s="13" t="s">
        <v>36</v>
      </c>
      <c r="F1" s="13" t="s">
        <v>37</v>
      </c>
      <c r="G1" s="8" t="s">
        <v>38</v>
      </c>
      <c r="H1" s="8" t="s">
        <v>39</v>
      </c>
      <c r="I1" s="8" t="s">
        <v>40</v>
      </c>
      <c r="J1" s="8" t="s">
        <v>41</v>
      </c>
      <c r="K1" s="8" t="s">
        <v>42</v>
      </c>
      <c r="L1" s="8" t="s">
        <v>43</v>
      </c>
      <c r="M1" s="8" t="s">
        <v>44</v>
      </c>
      <c r="N1" s="8" t="s">
        <v>45</v>
      </c>
      <c r="P1" s="5"/>
      <c r="Q1" s="36"/>
    </row>
    <row r="2" spans="1:17" ht="13" customHeight="1" x14ac:dyDescent="0.15">
      <c r="A2" s="8" t="s">
        <v>46</v>
      </c>
      <c r="D2" s="70" t="s">
        <v>47</v>
      </c>
      <c r="E2" s="64">
        <v>2</v>
      </c>
      <c r="F2" s="64">
        <v>1</v>
      </c>
      <c r="G2" s="21">
        <v>1</v>
      </c>
      <c r="H2" s="22">
        <v>350</v>
      </c>
      <c r="I2" s="22">
        <v>1.1399999999999999</v>
      </c>
      <c r="J2" s="22">
        <v>1.62</v>
      </c>
      <c r="K2" s="22">
        <v>18</v>
      </c>
      <c r="L2" s="22">
        <v>15555.555560000001</v>
      </c>
      <c r="M2" s="22">
        <v>2.76</v>
      </c>
      <c r="N2" s="44">
        <v>100</v>
      </c>
      <c r="P2" s="37"/>
      <c r="Q2" s="38"/>
    </row>
    <row r="3" spans="1:17" ht="13" x14ac:dyDescent="0.15">
      <c r="A3" s="8" t="s">
        <v>48</v>
      </c>
      <c r="B3" s="11"/>
      <c r="D3" s="67"/>
      <c r="E3" s="65"/>
      <c r="F3" s="65"/>
      <c r="G3">
        <v>2</v>
      </c>
      <c r="H3" s="14">
        <v>321</v>
      </c>
      <c r="I3">
        <v>0.53</v>
      </c>
      <c r="J3">
        <v>1.18</v>
      </c>
      <c r="K3" s="14">
        <v>10</v>
      </c>
      <c r="L3" s="14">
        <v>14266.666670000001</v>
      </c>
      <c r="M3" s="14">
        <v>1.71</v>
      </c>
      <c r="N3" s="31">
        <v>100</v>
      </c>
      <c r="P3" s="37"/>
      <c r="Q3" s="38"/>
    </row>
    <row r="4" spans="1:17" ht="13" x14ac:dyDescent="0.15">
      <c r="A4" s="8" t="s">
        <v>49</v>
      </c>
      <c r="B4" s="12"/>
      <c r="D4" s="67"/>
      <c r="E4" s="65"/>
      <c r="F4" s="65"/>
      <c r="G4">
        <v>3</v>
      </c>
      <c r="H4" s="14">
        <v>445</v>
      </c>
      <c r="I4" s="14">
        <v>0.46</v>
      </c>
      <c r="J4" s="14">
        <v>1.76</v>
      </c>
      <c r="K4" s="14">
        <v>12</v>
      </c>
      <c r="L4" s="14">
        <v>19777.77778</v>
      </c>
      <c r="M4" s="14">
        <v>2.2200000000000002</v>
      </c>
      <c r="N4" s="31">
        <v>100</v>
      </c>
      <c r="P4" s="37"/>
      <c r="Q4" s="38"/>
    </row>
    <row r="5" spans="1:17" ht="13" x14ac:dyDescent="0.15">
      <c r="A5" s="8" t="s">
        <v>68</v>
      </c>
      <c r="B5" s="15"/>
      <c r="D5" s="67"/>
      <c r="E5" s="65"/>
      <c r="F5" s="65"/>
      <c r="G5">
        <v>4</v>
      </c>
      <c r="H5" s="14">
        <v>542</v>
      </c>
      <c r="I5" s="14">
        <v>1.7</v>
      </c>
      <c r="J5" s="14">
        <v>4.96</v>
      </c>
      <c r="K5" s="14">
        <v>17</v>
      </c>
      <c r="L5" s="14">
        <v>24088.888889999998</v>
      </c>
      <c r="M5" s="60"/>
      <c r="N5" s="31">
        <v>100</v>
      </c>
      <c r="P5" s="37"/>
      <c r="Q5" s="38"/>
    </row>
    <row r="6" spans="1:17" ht="13" x14ac:dyDescent="0.15">
      <c r="A6" s="8" t="s">
        <v>70</v>
      </c>
      <c r="B6" s="78"/>
      <c r="D6" s="67"/>
      <c r="E6" s="65"/>
      <c r="F6" s="65"/>
      <c r="G6">
        <v>5</v>
      </c>
      <c r="H6" s="14">
        <v>490</v>
      </c>
      <c r="I6" s="14">
        <v>1.1599999999999999</v>
      </c>
      <c r="J6" s="14">
        <v>0.55000000000000004</v>
      </c>
      <c r="K6" s="14">
        <v>15</v>
      </c>
      <c r="L6" s="14">
        <v>21777.77778</v>
      </c>
      <c r="M6" s="14">
        <v>1.71</v>
      </c>
      <c r="N6" s="31">
        <v>100</v>
      </c>
      <c r="P6" s="37"/>
      <c r="Q6" s="38"/>
    </row>
    <row r="7" spans="1:17" ht="13" x14ac:dyDescent="0.15">
      <c r="A7" s="8" t="s">
        <v>71</v>
      </c>
      <c r="B7" s="62"/>
      <c r="D7" s="67"/>
      <c r="E7" s="65"/>
      <c r="F7" s="65">
        <v>2</v>
      </c>
      <c r="G7">
        <v>1</v>
      </c>
      <c r="H7">
        <v>460</v>
      </c>
      <c r="I7">
        <v>1.1200000000000001</v>
      </c>
      <c r="J7">
        <v>2.44</v>
      </c>
      <c r="K7" s="14">
        <v>20</v>
      </c>
      <c r="L7" s="14">
        <v>20444.444439999999</v>
      </c>
      <c r="M7" s="14">
        <v>3.56</v>
      </c>
      <c r="N7" s="31">
        <v>100</v>
      </c>
      <c r="P7" s="37"/>
      <c r="Q7" s="38"/>
    </row>
    <row r="8" spans="1:17" ht="13" x14ac:dyDescent="0.15">
      <c r="D8" s="67"/>
      <c r="E8" s="65"/>
      <c r="F8" s="65"/>
      <c r="G8">
        <v>2</v>
      </c>
      <c r="H8" s="14">
        <v>649</v>
      </c>
      <c r="I8" s="14">
        <v>2.02</v>
      </c>
      <c r="J8" s="14">
        <v>3.65</v>
      </c>
      <c r="K8" s="14">
        <v>25</v>
      </c>
      <c r="L8" s="14">
        <v>28844.444439999999</v>
      </c>
      <c r="M8" s="14">
        <v>5.67</v>
      </c>
      <c r="N8" s="31">
        <v>100</v>
      </c>
      <c r="P8" s="39"/>
      <c r="Q8" s="40"/>
    </row>
    <row r="9" spans="1:17" ht="13" x14ac:dyDescent="0.15">
      <c r="D9" s="67"/>
      <c r="E9" s="65"/>
      <c r="F9" s="65"/>
      <c r="G9">
        <v>3</v>
      </c>
      <c r="H9" s="14">
        <v>937</v>
      </c>
      <c r="I9" s="14">
        <v>0.84</v>
      </c>
      <c r="J9" s="14">
        <v>2.69</v>
      </c>
      <c r="K9" s="14">
        <v>18</v>
      </c>
      <c r="L9" s="60"/>
      <c r="M9" s="14">
        <v>3.53</v>
      </c>
      <c r="N9" s="31">
        <v>100</v>
      </c>
      <c r="P9" s="39"/>
      <c r="Q9" s="40"/>
    </row>
    <row r="10" spans="1:17" ht="13" x14ac:dyDescent="0.15">
      <c r="D10" s="67"/>
      <c r="E10" s="65"/>
      <c r="F10" s="65"/>
      <c r="G10">
        <v>4</v>
      </c>
      <c r="H10" s="14">
        <v>837</v>
      </c>
      <c r="I10" s="14">
        <v>0.65</v>
      </c>
      <c r="J10" s="14">
        <v>1.85</v>
      </c>
      <c r="K10" s="14">
        <v>12</v>
      </c>
      <c r="L10" s="60"/>
      <c r="M10" s="14">
        <v>2.5</v>
      </c>
      <c r="N10" s="31">
        <v>100</v>
      </c>
      <c r="P10" s="37"/>
      <c r="Q10" s="40"/>
    </row>
    <row r="11" spans="1:17" ht="14" x14ac:dyDescent="0.2">
      <c r="D11" s="67"/>
      <c r="E11" s="65"/>
      <c r="F11" s="65"/>
      <c r="G11">
        <v>5</v>
      </c>
      <c r="H11">
        <v>603</v>
      </c>
      <c r="I11">
        <v>0.74</v>
      </c>
      <c r="J11">
        <v>1.18</v>
      </c>
      <c r="K11" s="14">
        <v>15</v>
      </c>
      <c r="L11" s="14">
        <v>26800</v>
      </c>
      <c r="M11" s="14">
        <v>1.92</v>
      </c>
      <c r="N11" s="31">
        <v>100</v>
      </c>
      <c r="P11" s="41"/>
      <c r="Q11" s="42"/>
    </row>
    <row r="12" spans="1:17" ht="14" x14ac:dyDescent="0.2">
      <c r="D12" s="67"/>
      <c r="E12" s="65"/>
      <c r="F12" s="65">
        <v>3</v>
      </c>
      <c r="G12">
        <v>1</v>
      </c>
      <c r="H12">
        <v>421</v>
      </c>
      <c r="I12">
        <v>1.59</v>
      </c>
      <c r="J12">
        <v>3.55</v>
      </c>
      <c r="K12" s="14">
        <v>30</v>
      </c>
      <c r="L12" s="14">
        <v>18711.111110000002</v>
      </c>
      <c r="M12" s="14">
        <v>5.14</v>
      </c>
      <c r="N12" s="31">
        <v>100</v>
      </c>
      <c r="P12" s="41"/>
      <c r="Q12" s="42"/>
    </row>
    <row r="13" spans="1:17" ht="14" x14ac:dyDescent="0.2">
      <c r="D13" s="67"/>
      <c r="E13" s="65"/>
      <c r="F13" s="65"/>
      <c r="G13">
        <v>2</v>
      </c>
      <c r="H13" s="14">
        <v>47</v>
      </c>
      <c r="I13" s="14">
        <v>0.25</v>
      </c>
      <c r="J13" s="14">
        <v>0.31</v>
      </c>
      <c r="K13" s="14">
        <v>7</v>
      </c>
      <c r="L13" s="14">
        <v>2088.8888889999998</v>
      </c>
      <c r="M13" s="14">
        <v>0.56000000000000005</v>
      </c>
      <c r="N13" s="31">
        <v>100</v>
      </c>
      <c r="P13" s="41"/>
      <c r="Q13" s="42"/>
    </row>
    <row r="14" spans="1:17" ht="13" x14ac:dyDescent="0.15">
      <c r="D14" s="67"/>
      <c r="E14" s="65"/>
      <c r="F14" s="65"/>
      <c r="G14">
        <v>3</v>
      </c>
      <c r="H14">
        <v>252</v>
      </c>
      <c r="I14">
        <v>2.33</v>
      </c>
      <c r="J14">
        <v>2.54</v>
      </c>
      <c r="K14" s="14">
        <v>10</v>
      </c>
      <c r="L14" s="14">
        <v>11200</v>
      </c>
      <c r="M14" s="14">
        <v>4.87</v>
      </c>
      <c r="N14" s="31">
        <v>100</v>
      </c>
      <c r="P14" s="39"/>
      <c r="Q14" s="40"/>
    </row>
    <row r="15" spans="1:17" ht="13" x14ac:dyDescent="0.15">
      <c r="D15" s="67"/>
      <c r="E15" s="65"/>
      <c r="F15" s="65"/>
      <c r="G15">
        <v>4</v>
      </c>
      <c r="H15" s="14">
        <v>518</v>
      </c>
      <c r="I15" s="14">
        <v>1.36</v>
      </c>
      <c r="J15" s="14">
        <v>2.64</v>
      </c>
      <c r="K15" s="14">
        <v>25</v>
      </c>
      <c r="L15" s="14">
        <v>23022.22222</v>
      </c>
      <c r="M15" s="14">
        <v>4</v>
      </c>
      <c r="N15" s="31">
        <v>100</v>
      </c>
      <c r="P15" s="39"/>
      <c r="Q15" s="38"/>
    </row>
    <row r="16" spans="1:17" ht="13" x14ac:dyDescent="0.15">
      <c r="D16" s="67"/>
      <c r="E16" s="66"/>
      <c r="F16" s="66"/>
      <c r="G16" s="19">
        <v>5</v>
      </c>
      <c r="H16" s="20">
        <v>281</v>
      </c>
      <c r="I16" s="20">
        <v>2.35</v>
      </c>
      <c r="J16" s="20">
        <v>5.63</v>
      </c>
      <c r="K16" s="20">
        <v>30</v>
      </c>
      <c r="L16" s="20">
        <v>12488.88889</v>
      </c>
      <c r="M16" s="61"/>
      <c r="N16" s="45">
        <v>100</v>
      </c>
      <c r="P16" s="39"/>
      <c r="Q16" s="40"/>
    </row>
    <row r="17" spans="4:17" ht="14" x14ac:dyDescent="0.2">
      <c r="D17" s="67"/>
      <c r="E17" s="65">
        <v>3</v>
      </c>
      <c r="F17" s="65">
        <v>1</v>
      </c>
      <c r="G17">
        <v>1</v>
      </c>
      <c r="H17" s="14">
        <v>97</v>
      </c>
      <c r="I17" s="14">
        <v>0.43</v>
      </c>
      <c r="J17" s="14">
        <v>0.73</v>
      </c>
      <c r="K17" s="14">
        <v>25</v>
      </c>
      <c r="L17" s="14">
        <v>4311.1111110000002</v>
      </c>
      <c r="M17" s="14">
        <v>1.1599999999999999</v>
      </c>
      <c r="N17" s="31">
        <v>100</v>
      </c>
      <c r="P17" s="39"/>
      <c r="Q17" s="42"/>
    </row>
    <row r="18" spans="4:17" ht="13" x14ac:dyDescent="0.15">
      <c r="D18" s="67"/>
      <c r="E18" s="65"/>
      <c r="F18" s="65"/>
      <c r="G18">
        <v>2</v>
      </c>
      <c r="H18" s="14">
        <v>81</v>
      </c>
      <c r="I18">
        <v>0.53</v>
      </c>
      <c r="J18">
        <v>0.46</v>
      </c>
      <c r="K18" s="14">
        <v>5</v>
      </c>
      <c r="L18" s="14">
        <v>3600</v>
      </c>
      <c r="M18" s="14">
        <v>0.99</v>
      </c>
      <c r="N18" s="31">
        <v>100</v>
      </c>
      <c r="P18" s="39"/>
      <c r="Q18" s="38"/>
    </row>
    <row r="19" spans="4:17" ht="14" x14ac:dyDescent="0.2">
      <c r="D19" s="67"/>
      <c r="E19" s="65"/>
      <c r="F19" s="65"/>
      <c r="G19">
        <v>3</v>
      </c>
      <c r="H19" s="14">
        <v>153</v>
      </c>
      <c r="I19" s="14">
        <v>0.96</v>
      </c>
      <c r="J19" s="14">
        <v>0.55000000000000004</v>
      </c>
      <c r="K19" s="14">
        <v>10</v>
      </c>
      <c r="L19" s="14">
        <v>6800</v>
      </c>
      <c r="M19" s="14">
        <v>1.51</v>
      </c>
      <c r="N19" s="31">
        <v>100</v>
      </c>
      <c r="P19" s="39"/>
      <c r="Q19" s="42"/>
    </row>
    <row r="20" spans="4:17" ht="13" x14ac:dyDescent="0.15">
      <c r="D20" s="67"/>
      <c r="E20" s="65"/>
      <c r="F20" s="65"/>
      <c r="G20">
        <v>4</v>
      </c>
      <c r="H20" s="14">
        <v>57</v>
      </c>
      <c r="I20" s="14">
        <v>0.3</v>
      </c>
      <c r="J20" s="14">
        <v>0.11</v>
      </c>
      <c r="K20" s="14">
        <v>30</v>
      </c>
      <c r="L20" s="14">
        <v>2533.333333</v>
      </c>
      <c r="M20" s="14">
        <v>0.41</v>
      </c>
      <c r="N20" s="31">
        <v>100</v>
      </c>
      <c r="P20" s="37"/>
      <c r="Q20" s="40"/>
    </row>
    <row r="21" spans="4:17" ht="14" x14ac:dyDescent="0.2">
      <c r="D21" s="67"/>
      <c r="E21" s="65"/>
      <c r="F21" s="65"/>
      <c r="G21">
        <v>5</v>
      </c>
      <c r="H21" s="14">
        <v>289</v>
      </c>
      <c r="I21" s="14">
        <v>0.8</v>
      </c>
      <c r="J21" s="14">
        <v>0.84</v>
      </c>
      <c r="K21" s="14">
        <v>40</v>
      </c>
      <c r="L21" s="14">
        <v>12844.444439999999</v>
      </c>
      <c r="M21" s="14">
        <v>1.64</v>
      </c>
      <c r="N21" s="31">
        <v>100</v>
      </c>
      <c r="P21" s="41"/>
      <c r="Q21" s="42"/>
    </row>
    <row r="22" spans="4:17" ht="14" x14ac:dyDescent="0.2">
      <c r="D22" s="67"/>
      <c r="E22" s="65"/>
      <c r="F22" s="65">
        <v>2</v>
      </c>
      <c r="G22">
        <v>1</v>
      </c>
      <c r="H22" s="14">
        <v>299</v>
      </c>
      <c r="I22" s="14">
        <v>3.85</v>
      </c>
      <c r="J22" s="14">
        <v>4.76</v>
      </c>
      <c r="K22" s="60"/>
      <c r="L22" s="14">
        <v>13288.88889</v>
      </c>
      <c r="M22" s="60"/>
      <c r="N22" s="31">
        <v>100</v>
      </c>
      <c r="P22" s="41"/>
      <c r="Q22" s="42"/>
    </row>
    <row r="23" spans="4:17" ht="14" x14ac:dyDescent="0.2">
      <c r="D23" s="67"/>
      <c r="E23" s="65"/>
      <c r="F23" s="65"/>
      <c r="G23">
        <v>2</v>
      </c>
      <c r="H23" s="14">
        <v>208</v>
      </c>
      <c r="I23" s="14">
        <v>2.52</v>
      </c>
      <c r="J23" s="14">
        <v>1.92</v>
      </c>
      <c r="K23" s="14">
        <v>25</v>
      </c>
      <c r="L23" s="14">
        <v>9244.4444440000007</v>
      </c>
      <c r="M23" s="14">
        <v>4.4400000000000004</v>
      </c>
      <c r="N23" s="31">
        <v>100</v>
      </c>
      <c r="P23" s="41"/>
      <c r="Q23" s="42"/>
    </row>
    <row r="24" spans="4:17" ht="13" x14ac:dyDescent="0.15">
      <c r="D24" s="67"/>
      <c r="E24" s="65"/>
      <c r="F24" s="65"/>
      <c r="G24">
        <v>3</v>
      </c>
      <c r="H24" s="14">
        <v>172</v>
      </c>
      <c r="I24" s="14">
        <v>3.3</v>
      </c>
      <c r="J24" s="14">
        <v>2.71</v>
      </c>
      <c r="K24" s="14">
        <v>25</v>
      </c>
      <c r="L24" s="14">
        <v>7644.4444439999997</v>
      </c>
      <c r="M24" s="14">
        <v>6.01</v>
      </c>
      <c r="N24" s="31">
        <v>100</v>
      </c>
      <c r="P24" s="37"/>
      <c r="Q24" s="38"/>
    </row>
    <row r="25" spans="4:17" ht="13" x14ac:dyDescent="0.15">
      <c r="D25" s="67"/>
      <c r="E25" s="65"/>
      <c r="F25" s="65"/>
      <c r="G25">
        <v>4</v>
      </c>
      <c r="H25" s="14">
        <v>153</v>
      </c>
      <c r="I25" s="14">
        <v>0.6</v>
      </c>
      <c r="J25" s="14">
        <v>1.5</v>
      </c>
      <c r="K25" s="14">
        <v>15</v>
      </c>
      <c r="L25" s="14">
        <v>6800</v>
      </c>
      <c r="M25" s="14">
        <v>2.1</v>
      </c>
      <c r="N25" s="31">
        <v>100</v>
      </c>
      <c r="P25" s="37"/>
      <c r="Q25" s="38"/>
    </row>
    <row r="26" spans="4:17" ht="14" x14ac:dyDescent="0.2">
      <c r="D26" s="67"/>
      <c r="E26" s="65"/>
      <c r="F26" s="65"/>
      <c r="G26">
        <v>5</v>
      </c>
      <c r="H26" s="14">
        <v>199</v>
      </c>
      <c r="I26" s="14">
        <v>0.9</v>
      </c>
      <c r="J26" s="14">
        <v>1.88</v>
      </c>
      <c r="K26" s="14">
        <v>25</v>
      </c>
      <c r="L26" s="14">
        <v>8844.4444440000007</v>
      </c>
      <c r="M26" s="14">
        <v>2.78</v>
      </c>
      <c r="N26" s="31">
        <v>100</v>
      </c>
      <c r="P26" s="37"/>
      <c r="Q26" s="42"/>
    </row>
    <row r="27" spans="4:17" ht="13" x14ac:dyDescent="0.15">
      <c r="D27" s="67"/>
      <c r="E27" s="65"/>
      <c r="F27" s="65">
        <v>3</v>
      </c>
      <c r="G27">
        <v>1</v>
      </c>
      <c r="H27" s="14">
        <v>88</v>
      </c>
      <c r="I27" s="14">
        <v>2.79</v>
      </c>
      <c r="J27" s="14">
        <v>2.35</v>
      </c>
      <c r="K27" s="14">
        <v>35</v>
      </c>
      <c r="L27" s="14">
        <v>3911.1111110000002</v>
      </c>
      <c r="M27" s="14">
        <v>5.14</v>
      </c>
      <c r="N27" s="31">
        <v>100</v>
      </c>
      <c r="P27" s="37"/>
      <c r="Q27" s="38"/>
    </row>
    <row r="28" spans="4:17" ht="13" x14ac:dyDescent="0.15">
      <c r="D28" s="67"/>
      <c r="E28" s="65"/>
      <c r="F28" s="65"/>
      <c r="G28">
        <v>2</v>
      </c>
      <c r="H28" s="47"/>
      <c r="I28" s="47"/>
      <c r="J28" s="47"/>
      <c r="K28" s="47"/>
      <c r="L28" s="47"/>
      <c r="M28" s="47"/>
      <c r="N28" s="55"/>
      <c r="P28" s="37"/>
      <c r="Q28" s="38"/>
    </row>
    <row r="29" spans="4:17" ht="14" x14ac:dyDescent="0.2">
      <c r="D29" s="67"/>
      <c r="E29" s="65"/>
      <c r="F29" s="65"/>
      <c r="G29">
        <v>3</v>
      </c>
      <c r="H29" s="14">
        <v>25</v>
      </c>
      <c r="I29" s="14">
        <v>0.26</v>
      </c>
      <c r="J29" s="14">
        <v>0.23</v>
      </c>
      <c r="K29" s="14">
        <v>3</v>
      </c>
      <c r="L29" s="14">
        <v>1111.1111109999999</v>
      </c>
      <c r="M29" s="14">
        <v>0.49</v>
      </c>
      <c r="N29" s="31">
        <v>100</v>
      </c>
      <c r="P29" s="41"/>
      <c r="Q29" s="42"/>
    </row>
    <row r="30" spans="4:17" ht="14" x14ac:dyDescent="0.2">
      <c r="D30" s="67"/>
      <c r="E30" s="65"/>
      <c r="F30" s="65"/>
      <c r="G30">
        <v>4</v>
      </c>
      <c r="H30" s="14">
        <v>55</v>
      </c>
      <c r="I30" s="14">
        <v>0.23</v>
      </c>
      <c r="J30" s="14">
        <v>0.1</v>
      </c>
      <c r="K30" s="14">
        <v>20</v>
      </c>
      <c r="L30" s="14">
        <v>2444.4444440000002</v>
      </c>
      <c r="M30" s="14">
        <v>0.33</v>
      </c>
      <c r="N30" s="31">
        <v>100</v>
      </c>
      <c r="P30" s="39"/>
      <c r="Q30" s="42"/>
    </row>
    <row r="31" spans="4:17" ht="14" x14ac:dyDescent="0.2">
      <c r="D31" s="67"/>
      <c r="E31" s="66"/>
      <c r="F31" s="66"/>
      <c r="G31" s="19">
        <v>5</v>
      </c>
      <c r="H31" s="20">
        <v>174</v>
      </c>
      <c r="I31" s="20">
        <v>0.34</v>
      </c>
      <c r="J31" s="20">
        <v>0.77</v>
      </c>
      <c r="K31" s="20">
        <v>45</v>
      </c>
      <c r="L31" s="20">
        <v>7733.3333329999996</v>
      </c>
      <c r="M31" s="20">
        <v>1.1100000000000001</v>
      </c>
      <c r="N31" s="45">
        <v>100</v>
      </c>
      <c r="P31" s="39"/>
      <c r="Q31" s="42"/>
    </row>
    <row r="32" spans="4:17" ht="13" x14ac:dyDescent="0.15">
      <c r="D32" s="67"/>
      <c r="E32" s="64">
        <v>7</v>
      </c>
      <c r="F32" s="64">
        <v>1</v>
      </c>
      <c r="G32" s="21">
        <v>1</v>
      </c>
      <c r="H32" s="22">
        <v>130</v>
      </c>
      <c r="I32" s="22">
        <v>0.32</v>
      </c>
      <c r="J32" s="22">
        <v>0.22</v>
      </c>
      <c r="K32" s="22">
        <v>7</v>
      </c>
      <c r="L32" s="22">
        <v>5777.7777779999997</v>
      </c>
      <c r="M32" s="22">
        <v>0.54</v>
      </c>
      <c r="N32" s="44">
        <v>100</v>
      </c>
    </row>
    <row r="33" spans="4:14" ht="13" x14ac:dyDescent="0.15">
      <c r="D33" s="67"/>
      <c r="E33" s="65"/>
      <c r="F33" s="65"/>
      <c r="G33">
        <v>2</v>
      </c>
      <c r="H33" s="14">
        <v>346</v>
      </c>
      <c r="I33">
        <v>0.72</v>
      </c>
      <c r="J33">
        <v>1.81</v>
      </c>
      <c r="K33" s="14">
        <v>38</v>
      </c>
      <c r="L33" s="14">
        <v>15377.77778</v>
      </c>
      <c r="M33" s="14">
        <v>2.5299999999999998</v>
      </c>
      <c r="N33" s="31">
        <v>100</v>
      </c>
    </row>
    <row r="34" spans="4:14" ht="13" x14ac:dyDescent="0.15">
      <c r="D34" s="67"/>
      <c r="E34" s="65"/>
      <c r="F34" s="65"/>
      <c r="G34">
        <v>3</v>
      </c>
      <c r="H34" s="14">
        <v>500</v>
      </c>
      <c r="I34" s="14">
        <v>0.8</v>
      </c>
      <c r="J34" s="14">
        <v>1.8</v>
      </c>
      <c r="K34" s="14">
        <v>30</v>
      </c>
      <c r="L34" s="14">
        <v>22222.22222</v>
      </c>
      <c r="M34" s="14">
        <v>2.6</v>
      </c>
      <c r="N34" s="31">
        <v>100</v>
      </c>
    </row>
    <row r="35" spans="4:14" ht="13" x14ac:dyDescent="0.15">
      <c r="D35" s="67"/>
      <c r="E35" s="65"/>
      <c r="F35" s="65"/>
      <c r="G35">
        <v>4</v>
      </c>
      <c r="H35" s="14">
        <v>151</v>
      </c>
      <c r="I35" s="14">
        <v>0.48</v>
      </c>
      <c r="J35" s="14">
        <v>0.5</v>
      </c>
      <c r="K35" s="14">
        <v>7</v>
      </c>
      <c r="L35" s="14">
        <v>6711.1111110000002</v>
      </c>
      <c r="M35" s="14">
        <v>0.98</v>
      </c>
      <c r="N35" s="31">
        <v>100</v>
      </c>
    </row>
    <row r="36" spans="4:14" ht="13" x14ac:dyDescent="0.15">
      <c r="D36" s="67"/>
      <c r="E36" s="65"/>
      <c r="F36" s="65"/>
      <c r="G36">
        <v>5</v>
      </c>
      <c r="H36" s="14">
        <v>660</v>
      </c>
      <c r="I36" s="14">
        <v>2.4</v>
      </c>
      <c r="J36" s="14">
        <v>3</v>
      </c>
      <c r="K36" s="14">
        <v>7</v>
      </c>
      <c r="L36" s="14">
        <v>29333.333330000001</v>
      </c>
      <c r="M36" s="14">
        <v>5.4</v>
      </c>
      <c r="N36" s="31">
        <v>100</v>
      </c>
    </row>
    <row r="37" spans="4:14" ht="13" x14ac:dyDescent="0.15">
      <c r="D37" s="67"/>
      <c r="E37" s="65"/>
      <c r="F37" s="65">
        <v>2</v>
      </c>
      <c r="G37">
        <v>1</v>
      </c>
      <c r="H37" s="14">
        <v>300</v>
      </c>
      <c r="I37" s="14">
        <v>2.4</v>
      </c>
      <c r="J37" s="14">
        <v>0.8</v>
      </c>
      <c r="K37" s="14">
        <v>38</v>
      </c>
      <c r="L37" s="14">
        <v>13333.333329999999</v>
      </c>
      <c r="M37" s="14">
        <v>3.2</v>
      </c>
      <c r="N37" s="31">
        <v>100</v>
      </c>
    </row>
    <row r="38" spans="4:14" ht="13" x14ac:dyDescent="0.15">
      <c r="D38" s="67"/>
      <c r="E38" s="65"/>
      <c r="F38" s="65"/>
      <c r="G38">
        <v>2</v>
      </c>
      <c r="H38" s="14">
        <v>175</v>
      </c>
      <c r="I38" s="14">
        <v>0.26</v>
      </c>
      <c r="J38" s="14">
        <v>0.43</v>
      </c>
      <c r="K38" s="14">
        <v>5</v>
      </c>
      <c r="L38" s="14">
        <v>7777.7777779999997</v>
      </c>
      <c r="M38" s="14">
        <v>0.69</v>
      </c>
      <c r="N38" s="31">
        <v>100</v>
      </c>
    </row>
    <row r="39" spans="4:14" ht="13" x14ac:dyDescent="0.15">
      <c r="D39" s="67"/>
      <c r="E39" s="65"/>
      <c r="F39" s="65"/>
      <c r="G39">
        <v>3</v>
      </c>
      <c r="H39" s="14">
        <v>134</v>
      </c>
      <c r="I39" s="14">
        <v>0.43</v>
      </c>
      <c r="J39" s="14">
        <v>0.28999999999999998</v>
      </c>
      <c r="K39" s="14">
        <v>25</v>
      </c>
      <c r="L39" s="14">
        <v>5955.5555560000003</v>
      </c>
      <c r="M39" s="14">
        <v>0.72</v>
      </c>
      <c r="N39" s="31">
        <v>100</v>
      </c>
    </row>
    <row r="40" spans="4:14" ht="13" x14ac:dyDescent="0.15">
      <c r="D40" s="67"/>
      <c r="E40" s="65"/>
      <c r="F40" s="65"/>
      <c r="G40">
        <v>4</v>
      </c>
      <c r="H40" s="14">
        <v>326</v>
      </c>
      <c r="I40" s="14">
        <v>0.28999999999999998</v>
      </c>
      <c r="J40" s="14">
        <v>0.79</v>
      </c>
      <c r="K40" s="14">
        <v>17</v>
      </c>
      <c r="L40" s="14">
        <v>14488.88889</v>
      </c>
      <c r="M40" s="14">
        <v>1.08</v>
      </c>
      <c r="N40" s="31">
        <v>100</v>
      </c>
    </row>
    <row r="41" spans="4:14" ht="13" x14ac:dyDescent="0.15">
      <c r="D41" s="67"/>
      <c r="E41" s="65"/>
      <c r="F41" s="65"/>
      <c r="G41">
        <v>5</v>
      </c>
      <c r="H41" s="14">
        <v>216</v>
      </c>
      <c r="I41" s="14">
        <v>0.49</v>
      </c>
      <c r="J41" s="14">
        <v>0.55000000000000004</v>
      </c>
      <c r="K41" s="14">
        <v>25</v>
      </c>
      <c r="L41" s="14">
        <v>9600</v>
      </c>
      <c r="M41" s="14">
        <v>1.04</v>
      </c>
      <c r="N41" s="31">
        <v>100</v>
      </c>
    </row>
    <row r="42" spans="4:14" ht="13" x14ac:dyDescent="0.15">
      <c r="D42" s="67"/>
      <c r="E42" s="65"/>
      <c r="F42" s="72">
        <v>3</v>
      </c>
      <c r="G42">
        <v>1</v>
      </c>
      <c r="H42" s="14">
        <v>206</v>
      </c>
      <c r="I42" s="14">
        <v>0.28000000000000003</v>
      </c>
      <c r="J42" s="14">
        <v>0.46</v>
      </c>
      <c r="K42" s="14">
        <v>3</v>
      </c>
      <c r="L42" s="14">
        <v>9155.5555559999993</v>
      </c>
      <c r="M42" s="14">
        <v>0.74</v>
      </c>
      <c r="N42" s="31">
        <v>100</v>
      </c>
    </row>
    <row r="43" spans="4:14" ht="13" x14ac:dyDescent="0.15">
      <c r="D43" s="67"/>
      <c r="E43" s="65"/>
      <c r="F43" s="72"/>
      <c r="G43">
        <v>2</v>
      </c>
      <c r="H43" s="14">
        <v>81</v>
      </c>
      <c r="I43" s="14">
        <v>0.2</v>
      </c>
      <c r="J43" s="14">
        <v>3.01</v>
      </c>
      <c r="K43" s="14">
        <v>5</v>
      </c>
      <c r="L43" s="14">
        <v>3600</v>
      </c>
      <c r="M43" s="14">
        <v>3.21</v>
      </c>
      <c r="N43" s="31">
        <v>100</v>
      </c>
    </row>
    <row r="44" spans="4:14" ht="13" x14ac:dyDescent="0.15">
      <c r="D44" s="67"/>
      <c r="E44" s="65"/>
      <c r="F44" s="72"/>
      <c r="G44">
        <v>3</v>
      </c>
      <c r="H44" s="14">
        <v>213</v>
      </c>
      <c r="I44" s="14">
        <v>0.1</v>
      </c>
      <c r="J44" s="14">
        <v>0.33</v>
      </c>
      <c r="K44" s="14">
        <v>17</v>
      </c>
      <c r="L44" s="14">
        <v>9466.6666669999995</v>
      </c>
      <c r="M44" s="14">
        <v>0.43</v>
      </c>
      <c r="N44" s="31">
        <v>100</v>
      </c>
    </row>
    <row r="45" spans="4:14" ht="13" x14ac:dyDescent="0.15">
      <c r="D45" s="67"/>
      <c r="E45" s="65"/>
      <c r="F45" s="72"/>
      <c r="G45">
        <v>4</v>
      </c>
      <c r="H45" s="14">
        <v>62</v>
      </c>
      <c r="I45" s="14">
        <v>0.26</v>
      </c>
      <c r="J45" s="14">
        <v>0.28000000000000003</v>
      </c>
      <c r="K45" s="14">
        <v>2</v>
      </c>
      <c r="L45" s="14">
        <v>2755.5555559999998</v>
      </c>
      <c r="M45" s="14">
        <v>0.54</v>
      </c>
      <c r="N45" s="31">
        <v>100</v>
      </c>
    </row>
    <row r="46" spans="4:14" ht="13" x14ac:dyDescent="0.15">
      <c r="D46" s="67"/>
      <c r="E46" s="66"/>
      <c r="F46" s="73"/>
      <c r="G46" s="19">
        <v>5</v>
      </c>
      <c r="H46" s="20">
        <v>163</v>
      </c>
      <c r="I46" s="20">
        <v>0.24</v>
      </c>
      <c r="J46" s="20">
        <v>0.88</v>
      </c>
      <c r="K46" s="20">
        <v>1</v>
      </c>
      <c r="L46" s="20">
        <v>7244.4444439999997</v>
      </c>
      <c r="M46" s="20">
        <v>1.1200000000000001</v>
      </c>
      <c r="N46" s="45">
        <v>100</v>
      </c>
    </row>
    <row r="47" spans="4:14" ht="13" x14ac:dyDescent="0.15">
      <c r="D47" s="67"/>
      <c r="E47" s="65">
        <v>8</v>
      </c>
      <c r="F47" s="65">
        <v>1</v>
      </c>
      <c r="G47">
        <v>1</v>
      </c>
      <c r="H47" s="15"/>
      <c r="I47" s="15"/>
      <c r="J47" s="15"/>
      <c r="K47" s="14">
        <v>25</v>
      </c>
      <c r="L47" s="15"/>
      <c r="M47" s="15"/>
      <c r="N47" s="29"/>
    </row>
    <row r="48" spans="4:14" ht="13" x14ac:dyDescent="0.15">
      <c r="D48" s="67"/>
      <c r="E48" s="65"/>
      <c r="F48" s="65"/>
      <c r="G48">
        <v>2</v>
      </c>
      <c r="H48" s="14">
        <v>670</v>
      </c>
      <c r="I48" s="14">
        <v>2.6</v>
      </c>
      <c r="J48" s="14">
        <v>2.94</v>
      </c>
      <c r="K48" s="14">
        <v>22</v>
      </c>
      <c r="L48" s="14">
        <v>29777.77778</v>
      </c>
      <c r="M48">
        <f>I48+J48</f>
        <v>5.54</v>
      </c>
      <c r="N48" s="24">
        <v>100</v>
      </c>
    </row>
    <row r="49" spans="4:14" ht="13" x14ac:dyDescent="0.15">
      <c r="D49" s="67"/>
      <c r="E49" s="65"/>
      <c r="F49" s="65"/>
      <c r="G49">
        <v>3</v>
      </c>
      <c r="H49" s="17">
        <v>1569</v>
      </c>
      <c r="I49" s="17">
        <v>8.26</v>
      </c>
      <c r="J49" s="17">
        <v>9.91</v>
      </c>
      <c r="K49" s="14">
        <v>45</v>
      </c>
      <c r="L49" s="60"/>
      <c r="M49" s="62"/>
      <c r="N49" s="46">
        <v>4.8425196850000001</v>
      </c>
    </row>
    <row r="50" spans="4:14" ht="13" x14ac:dyDescent="0.15">
      <c r="D50" s="67"/>
      <c r="E50" s="65"/>
      <c r="F50" s="65"/>
      <c r="G50">
        <v>4</v>
      </c>
      <c r="H50" s="15"/>
      <c r="I50" s="15"/>
      <c r="J50" s="15"/>
      <c r="K50" s="14">
        <v>40</v>
      </c>
      <c r="L50" s="15"/>
      <c r="M50" s="15"/>
      <c r="N50" s="29"/>
    </row>
    <row r="51" spans="4:14" ht="13" x14ac:dyDescent="0.15">
      <c r="D51" s="67"/>
      <c r="E51" s="65"/>
      <c r="F51" s="65"/>
      <c r="G51">
        <v>5</v>
      </c>
      <c r="H51" s="17">
        <v>341</v>
      </c>
      <c r="I51" s="17">
        <v>5.49</v>
      </c>
      <c r="J51" s="17">
        <v>3.22</v>
      </c>
      <c r="K51" s="14">
        <v>10</v>
      </c>
      <c r="L51" s="14">
        <v>15147.82609</v>
      </c>
      <c r="M51">
        <f>I51+J51</f>
        <v>8.7100000000000009</v>
      </c>
      <c r="N51" s="46">
        <v>5.2812858780000003</v>
      </c>
    </row>
    <row r="52" spans="4:14" ht="13" x14ac:dyDescent="0.15">
      <c r="D52" s="67"/>
      <c r="E52" s="65"/>
      <c r="F52" s="65">
        <v>2</v>
      </c>
      <c r="G52">
        <v>1</v>
      </c>
      <c r="H52" s="17">
        <v>649</v>
      </c>
      <c r="I52" s="17">
        <v>2.16</v>
      </c>
      <c r="J52" s="17">
        <v>3.11</v>
      </c>
      <c r="K52" s="14">
        <v>15</v>
      </c>
      <c r="L52" s="14">
        <v>28825.599999999999</v>
      </c>
      <c r="M52">
        <f>I52+J52</f>
        <v>5.27</v>
      </c>
      <c r="N52" s="46">
        <v>7.4008288929999999</v>
      </c>
    </row>
    <row r="53" spans="4:14" ht="13" x14ac:dyDescent="0.15">
      <c r="D53" s="67"/>
      <c r="E53" s="65"/>
      <c r="F53" s="65"/>
      <c r="G53">
        <v>2</v>
      </c>
      <c r="H53" s="15"/>
      <c r="I53" s="15"/>
      <c r="J53" s="15"/>
      <c r="K53" s="14">
        <v>15</v>
      </c>
      <c r="L53" s="15"/>
      <c r="M53" s="15"/>
      <c r="N53" s="29"/>
    </row>
    <row r="54" spans="4:14" ht="13" x14ac:dyDescent="0.15">
      <c r="D54" s="67"/>
      <c r="E54" s="65"/>
      <c r="F54" s="65"/>
      <c r="G54">
        <v>3</v>
      </c>
      <c r="H54" s="14">
        <v>306</v>
      </c>
      <c r="I54" s="14">
        <v>1.84</v>
      </c>
      <c r="J54" s="14">
        <v>3.11</v>
      </c>
      <c r="K54" s="14">
        <v>22</v>
      </c>
      <c r="L54" s="14">
        <v>13600</v>
      </c>
      <c r="M54">
        <f>I54+J54</f>
        <v>4.95</v>
      </c>
      <c r="N54" s="31">
        <v>100</v>
      </c>
    </row>
    <row r="55" spans="4:14" ht="13" x14ac:dyDescent="0.15">
      <c r="D55" s="67"/>
      <c r="E55" s="65"/>
      <c r="F55" s="65"/>
      <c r="G55">
        <v>4</v>
      </c>
      <c r="H55" s="17">
        <v>602</v>
      </c>
      <c r="I55" s="17">
        <v>3.38</v>
      </c>
      <c r="J55" s="17">
        <v>4.2</v>
      </c>
      <c r="K55" s="14">
        <v>30</v>
      </c>
      <c r="L55" s="14">
        <v>26757.26496</v>
      </c>
      <c r="M55">
        <f>I55+J55</f>
        <v>7.58</v>
      </c>
      <c r="N55" s="46">
        <v>10.962754739999999</v>
      </c>
    </row>
    <row r="56" spans="4:14" ht="13" x14ac:dyDescent="0.15">
      <c r="D56" s="67"/>
      <c r="E56" s="65"/>
      <c r="F56" s="65"/>
      <c r="G56">
        <v>5</v>
      </c>
      <c r="H56" s="17">
        <v>654</v>
      </c>
      <c r="I56" s="17">
        <v>8.1300000000000008</v>
      </c>
      <c r="J56" s="17">
        <v>7.42</v>
      </c>
      <c r="K56" s="14">
        <v>25</v>
      </c>
      <c r="L56" s="14">
        <v>29067.29264</v>
      </c>
      <c r="M56" s="62"/>
      <c r="N56" s="46">
        <v>5.6573705179999996</v>
      </c>
    </row>
    <row r="57" spans="4:14" ht="13" x14ac:dyDescent="0.15">
      <c r="D57" s="67"/>
      <c r="E57" s="65"/>
      <c r="F57" s="65">
        <v>3</v>
      </c>
      <c r="G57">
        <v>1</v>
      </c>
      <c r="H57" s="15"/>
      <c r="I57" s="15"/>
      <c r="J57" s="15"/>
      <c r="K57" s="14">
        <v>5</v>
      </c>
      <c r="L57" s="15"/>
      <c r="M57" s="15"/>
      <c r="N57" s="29"/>
    </row>
    <row r="58" spans="4:14" ht="13" x14ac:dyDescent="0.15">
      <c r="D58" s="67"/>
      <c r="E58" s="65"/>
      <c r="F58" s="65"/>
      <c r="G58">
        <v>2</v>
      </c>
      <c r="H58" s="15"/>
      <c r="I58" s="15"/>
      <c r="J58" s="15"/>
      <c r="K58" s="14">
        <v>22</v>
      </c>
      <c r="L58" s="15"/>
      <c r="M58" s="15"/>
      <c r="N58" s="29"/>
    </row>
    <row r="59" spans="4:14" ht="13" x14ac:dyDescent="0.15">
      <c r="D59" s="67"/>
      <c r="E59" s="65"/>
      <c r="F59" s="65"/>
      <c r="G59">
        <v>3</v>
      </c>
      <c r="H59" s="15"/>
      <c r="I59" s="15"/>
      <c r="J59" s="15"/>
      <c r="K59" s="14">
        <v>6</v>
      </c>
      <c r="L59" s="15"/>
      <c r="M59" s="15"/>
      <c r="N59" s="29"/>
    </row>
    <row r="60" spans="4:14" ht="13" x14ac:dyDescent="0.15">
      <c r="D60" s="67"/>
      <c r="E60" s="65"/>
      <c r="F60" s="65"/>
      <c r="G60">
        <v>4</v>
      </c>
      <c r="H60" s="15"/>
      <c r="I60" s="15"/>
      <c r="J60" s="15"/>
      <c r="K60" s="14">
        <v>5</v>
      </c>
      <c r="L60" s="15"/>
      <c r="M60" s="15"/>
      <c r="N60" s="29"/>
    </row>
    <row r="61" spans="4:14" ht="13" x14ac:dyDescent="0.15">
      <c r="D61" s="71"/>
      <c r="E61" s="66"/>
      <c r="F61" s="66"/>
      <c r="G61" s="19">
        <v>5</v>
      </c>
      <c r="H61" s="20">
        <v>342</v>
      </c>
      <c r="I61" s="20">
        <v>1.54</v>
      </c>
      <c r="J61" s="20">
        <v>1.08</v>
      </c>
      <c r="K61" s="20">
        <v>7</v>
      </c>
      <c r="L61" s="19">
        <v>15200</v>
      </c>
      <c r="M61" s="19">
        <f>I61+J61</f>
        <v>2.62</v>
      </c>
      <c r="N61" s="25">
        <v>100</v>
      </c>
    </row>
    <row r="62" spans="4:14" ht="13" x14ac:dyDescent="0.15">
      <c r="D62" s="67" t="s">
        <v>50</v>
      </c>
      <c r="E62" s="65">
        <v>1</v>
      </c>
      <c r="F62" s="65">
        <v>1</v>
      </c>
      <c r="G62">
        <v>1</v>
      </c>
      <c r="H62" s="54"/>
      <c r="I62" s="54"/>
      <c r="J62" s="54"/>
      <c r="K62" s="54"/>
      <c r="L62" s="54"/>
      <c r="M62" s="54"/>
      <c r="N62" s="55"/>
    </row>
    <row r="63" spans="4:14" ht="13" x14ac:dyDescent="0.15">
      <c r="D63" s="68"/>
      <c r="E63" s="65"/>
      <c r="F63" s="65"/>
      <c r="G63">
        <v>2</v>
      </c>
      <c r="H63" s="54"/>
      <c r="I63" s="54"/>
      <c r="J63" s="54"/>
      <c r="K63" s="54"/>
      <c r="L63" s="54"/>
      <c r="M63" s="54"/>
      <c r="N63" s="55"/>
    </row>
    <row r="64" spans="4:14" ht="13" x14ac:dyDescent="0.15">
      <c r="D64" s="68"/>
      <c r="E64" s="65"/>
      <c r="F64" s="65"/>
      <c r="G64">
        <v>3</v>
      </c>
      <c r="H64" s="54"/>
      <c r="I64" s="54"/>
      <c r="J64" s="54"/>
      <c r="K64" s="54"/>
      <c r="L64" s="54"/>
      <c r="M64" s="54"/>
      <c r="N64" s="55"/>
    </row>
    <row r="65" spans="4:14" ht="13" x14ac:dyDescent="0.15">
      <c r="D65" s="68"/>
      <c r="E65" s="65"/>
      <c r="F65" s="65"/>
      <c r="G65">
        <v>4</v>
      </c>
      <c r="H65" s="54"/>
      <c r="I65" s="54"/>
      <c r="J65" s="54"/>
      <c r="K65" s="54"/>
      <c r="L65" s="54"/>
      <c r="M65" s="54"/>
      <c r="N65" s="55"/>
    </row>
    <row r="66" spans="4:14" ht="13" x14ac:dyDescent="0.15">
      <c r="D66" s="68"/>
      <c r="E66" s="65"/>
      <c r="F66" s="65"/>
      <c r="G66">
        <v>5</v>
      </c>
      <c r="H66" s="54"/>
      <c r="I66" s="54"/>
      <c r="J66" s="54"/>
      <c r="K66" s="54"/>
      <c r="L66" s="54"/>
      <c r="M66" s="54"/>
      <c r="N66" s="55"/>
    </row>
    <row r="67" spans="4:14" ht="13" x14ac:dyDescent="0.15">
      <c r="D67" s="68"/>
      <c r="E67" s="65"/>
      <c r="F67" s="65">
        <v>2</v>
      </c>
      <c r="G67">
        <v>1</v>
      </c>
      <c r="H67" s="54"/>
      <c r="I67" s="54"/>
      <c r="J67" s="54"/>
      <c r="K67" s="54"/>
      <c r="L67" s="54"/>
      <c r="M67" s="54"/>
      <c r="N67" s="55"/>
    </row>
    <row r="68" spans="4:14" ht="13" x14ac:dyDescent="0.15">
      <c r="D68" s="68"/>
      <c r="E68" s="65"/>
      <c r="F68" s="65"/>
      <c r="G68">
        <v>2</v>
      </c>
      <c r="H68" s="54"/>
      <c r="I68" s="54"/>
      <c r="J68" s="54"/>
      <c r="K68" s="54"/>
      <c r="L68" s="54"/>
      <c r="M68" s="54"/>
      <c r="N68" s="55"/>
    </row>
    <row r="69" spans="4:14" ht="13" x14ac:dyDescent="0.15">
      <c r="D69" s="68"/>
      <c r="E69" s="65"/>
      <c r="F69" s="65"/>
      <c r="G69">
        <v>3</v>
      </c>
      <c r="H69" s="54"/>
      <c r="I69" s="54"/>
      <c r="J69" s="54"/>
      <c r="K69" s="54"/>
      <c r="L69" s="54"/>
      <c r="M69" s="54"/>
      <c r="N69" s="55"/>
    </row>
    <row r="70" spans="4:14" ht="13" x14ac:dyDescent="0.15">
      <c r="D70" s="68"/>
      <c r="E70" s="65"/>
      <c r="F70" s="65"/>
      <c r="G70">
        <v>4</v>
      </c>
      <c r="H70" s="54"/>
      <c r="I70" s="54"/>
      <c r="J70" s="54"/>
      <c r="K70" s="54"/>
      <c r="L70" s="54"/>
      <c r="M70" s="54"/>
      <c r="N70" s="55"/>
    </row>
    <row r="71" spans="4:14" ht="13" x14ac:dyDescent="0.15">
      <c r="D71" s="68"/>
      <c r="E71" s="65"/>
      <c r="F71" s="65"/>
      <c r="G71">
        <v>5</v>
      </c>
      <c r="H71" s="54"/>
      <c r="I71" s="54"/>
      <c r="J71" s="54"/>
      <c r="K71" s="54"/>
      <c r="L71" s="54"/>
      <c r="M71" s="54"/>
      <c r="N71" s="55"/>
    </row>
    <row r="72" spans="4:14" ht="13" x14ac:dyDescent="0.15">
      <c r="D72" s="68"/>
      <c r="E72" s="65"/>
      <c r="F72" s="65">
        <v>3</v>
      </c>
      <c r="G72">
        <v>1</v>
      </c>
      <c r="H72" s="54"/>
      <c r="I72" s="54"/>
      <c r="J72" s="54"/>
      <c r="K72" s="54"/>
      <c r="L72" s="54"/>
      <c r="M72" s="54"/>
      <c r="N72" s="55"/>
    </row>
    <row r="73" spans="4:14" ht="13" x14ac:dyDescent="0.15">
      <c r="D73" s="68"/>
      <c r="E73" s="65"/>
      <c r="F73" s="65"/>
      <c r="G73">
        <v>2</v>
      </c>
      <c r="H73" s="54"/>
      <c r="I73" s="54"/>
      <c r="J73" s="54"/>
      <c r="K73" s="54"/>
      <c r="L73" s="54"/>
      <c r="M73" s="54"/>
      <c r="N73" s="55"/>
    </row>
    <row r="74" spans="4:14" ht="13" x14ac:dyDescent="0.15">
      <c r="D74" s="68"/>
      <c r="E74" s="65"/>
      <c r="F74" s="65"/>
      <c r="G74">
        <v>3</v>
      </c>
      <c r="H74" s="54"/>
      <c r="I74" s="54"/>
      <c r="J74" s="54"/>
      <c r="K74" s="54"/>
      <c r="L74" s="54"/>
      <c r="M74" s="54"/>
      <c r="N74" s="55"/>
    </row>
    <row r="75" spans="4:14" ht="13" x14ac:dyDescent="0.15">
      <c r="D75" s="68"/>
      <c r="E75" s="65"/>
      <c r="F75" s="65"/>
      <c r="G75">
        <v>4</v>
      </c>
      <c r="H75" s="54"/>
      <c r="I75" s="54"/>
      <c r="J75" s="54"/>
      <c r="K75" s="54"/>
      <c r="L75" s="54"/>
      <c r="M75" s="54"/>
      <c r="N75" s="55"/>
    </row>
    <row r="76" spans="4:14" ht="13" x14ac:dyDescent="0.15">
      <c r="D76" s="68"/>
      <c r="E76" s="65"/>
      <c r="F76" s="65"/>
      <c r="G76">
        <v>5</v>
      </c>
      <c r="H76" s="54"/>
      <c r="I76" s="54"/>
      <c r="J76" s="54"/>
      <c r="K76" s="54"/>
      <c r="L76" s="54"/>
      <c r="M76" s="54"/>
      <c r="N76" s="55"/>
    </row>
    <row r="77" spans="4:14" ht="13" x14ac:dyDescent="0.15">
      <c r="D77" s="68"/>
      <c r="E77" s="64">
        <v>4</v>
      </c>
      <c r="F77" s="64">
        <v>1</v>
      </c>
      <c r="G77" s="21">
        <v>1</v>
      </c>
      <c r="H77" s="22">
        <v>198</v>
      </c>
      <c r="I77" s="22">
        <v>0.54</v>
      </c>
      <c r="J77" s="22">
        <v>1.07</v>
      </c>
      <c r="K77" s="22">
        <v>25</v>
      </c>
      <c r="L77" s="22">
        <v>8800</v>
      </c>
      <c r="M77" s="22">
        <v>1.61</v>
      </c>
      <c r="N77" s="23">
        <v>100</v>
      </c>
    </row>
    <row r="78" spans="4:14" ht="13" x14ac:dyDescent="0.15">
      <c r="D78" s="68"/>
      <c r="E78" s="65"/>
      <c r="F78" s="65"/>
      <c r="G78">
        <v>2</v>
      </c>
      <c r="H78" s="14">
        <v>50</v>
      </c>
      <c r="I78">
        <v>0.31</v>
      </c>
      <c r="J78">
        <v>1.41</v>
      </c>
      <c r="K78" s="14">
        <v>5</v>
      </c>
      <c r="L78" s="14">
        <v>2222.2222219999999</v>
      </c>
      <c r="M78" s="14">
        <v>1.72</v>
      </c>
      <c r="N78" s="24">
        <v>100</v>
      </c>
    </row>
    <row r="79" spans="4:14" ht="13" x14ac:dyDescent="0.15">
      <c r="D79" s="68"/>
      <c r="E79" s="65"/>
      <c r="F79" s="65"/>
      <c r="G79">
        <v>3</v>
      </c>
      <c r="H79" s="14">
        <v>21</v>
      </c>
      <c r="I79" s="14">
        <v>0.1</v>
      </c>
      <c r="J79" s="14">
        <v>0.22</v>
      </c>
      <c r="K79" s="14">
        <v>2</v>
      </c>
      <c r="L79" s="14">
        <v>933.33333330000005</v>
      </c>
      <c r="M79" s="14">
        <v>0.32</v>
      </c>
      <c r="N79" s="24">
        <v>100</v>
      </c>
    </row>
    <row r="80" spans="4:14" ht="13" x14ac:dyDescent="0.15">
      <c r="D80" s="68"/>
      <c r="E80" s="65"/>
      <c r="F80" s="65"/>
      <c r="G80">
        <v>4</v>
      </c>
      <c r="H80" s="14">
        <v>32</v>
      </c>
      <c r="I80" s="14">
        <v>0.12</v>
      </c>
      <c r="J80" s="14">
        <v>0.24</v>
      </c>
      <c r="K80" s="14">
        <v>2</v>
      </c>
      <c r="L80" s="14">
        <v>1422.2222220000001</v>
      </c>
      <c r="M80" s="14">
        <v>0.36</v>
      </c>
      <c r="N80" s="24">
        <v>100</v>
      </c>
    </row>
    <row r="81" spans="4:14" ht="13" x14ac:dyDescent="0.15">
      <c r="D81" s="68"/>
      <c r="E81" s="65"/>
      <c r="F81" s="65"/>
      <c r="G81">
        <v>5</v>
      </c>
      <c r="H81" s="14">
        <v>80</v>
      </c>
      <c r="I81" s="14">
        <v>0.6</v>
      </c>
      <c r="J81" s="14">
        <v>1.03</v>
      </c>
      <c r="L81" s="14">
        <v>3555.5555559999998</v>
      </c>
      <c r="M81" s="14">
        <v>1.63</v>
      </c>
      <c r="N81" s="24">
        <v>100</v>
      </c>
    </row>
    <row r="82" spans="4:14" ht="13" x14ac:dyDescent="0.15">
      <c r="D82" s="68"/>
      <c r="E82" s="65"/>
      <c r="F82" s="65">
        <v>2</v>
      </c>
      <c r="G82">
        <v>1</v>
      </c>
      <c r="H82" s="47"/>
      <c r="I82" s="47"/>
      <c r="J82" s="47"/>
      <c r="K82" s="47"/>
      <c r="L82" s="47"/>
      <c r="M82" s="47"/>
      <c r="N82" s="49"/>
    </row>
    <row r="83" spans="4:14" ht="13" x14ac:dyDescent="0.15">
      <c r="D83" s="68"/>
      <c r="E83" s="65"/>
      <c r="F83" s="65"/>
      <c r="G83">
        <v>2</v>
      </c>
      <c r="H83" s="14">
        <v>253</v>
      </c>
      <c r="I83" s="14">
        <v>0.45</v>
      </c>
      <c r="J83" s="14">
        <v>1.31</v>
      </c>
      <c r="K83" s="14">
        <v>17</v>
      </c>
      <c r="L83" s="14">
        <v>11244.444439999999</v>
      </c>
      <c r="M83" s="14">
        <v>1.76</v>
      </c>
      <c r="N83" s="24">
        <v>100</v>
      </c>
    </row>
    <row r="84" spans="4:14" ht="13" x14ac:dyDescent="0.15">
      <c r="D84" s="68"/>
      <c r="E84" s="65"/>
      <c r="F84" s="65"/>
      <c r="G84">
        <v>3</v>
      </c>
      <c r="H84" s="47"/>
      <c r="I84" s="47"/>
      <c r="J84" s="47"/>
      <c r="K84" s="47"/>
      <c r="L84" s="47"/>
      <c r="M84" s="47"/>
      <c r="N84" s="49"/>
    </row>
    <row r="85" spans="4:14" ht="13" x14ac:dyDescent="0.15">
      <c r="D85" s="68"/>
      <c r="E85" s="65"/>
      <c r="F85" s="65"/>
      <c r="G85">
        <v>4</v>
      </c>
      <c r="H85" s="47"/>
      <c r="I85" s="47"/>
      <c r="J85" s="47"/>
      <c r="K85" s="47"/>
      <c r="L85" s="47"/>
      <c r="M85" s="47"/>
      <c r="N85" s="49"/>
    </row>
    <row r="86" spans="4:14" ht="13" x14ac:dyDescent="0.15">
      <c r="D86" s="68"/>
      <c r="E86" s="65"/>
      <c r="F86" s="65"/>
      <c r="G86">
        <v>5</v>
      </c>
      <c r="H86" s="14">
        <v>24</v>
      </c>
      <c r="I86" s="14">
        <v>0.09</v>
      </c>
      <c r="J86" s="14">
        <v>0.22</v>
      </c>
      <c r="K86" s="14">
        <v>2</v>
      </c>
      <c r="L86" s="14">
        <v>1066.666667</v>
      </c>
      <c r="M86" s="14">
        <v>0.31</v>
      </c>
      <c r="N86" s="24">
        <v>100</v>
      </c>
    </row>
    <row r="87" spans="4:14" ht="13" x14ac:dyDescent="0.15">
      <c r="D87" s="68"/>
      <c r="E87" s="65"/>
      <c r="F87" s="65">
        <v>3</v>
      </c>
      <c r="G87">
        <v>1</v>
      </c>
      <c r="H87" s="14">
        <v>91</v>
      </c>
      <c r="I87" s="14">
        <v>0.49</v>
      </c>
      <c r="J87" s="14">
        <v>1.1299999999999999</v>
      </c>
      <c r="K87" s="14">
        <v>25</v>
      </c>
      <c r="L87" s="14">
        <v>4044.4444440000002</v>
      </c>
      <c r="M87" s="14">
        <v>1.62</v>
      </c>
      <c r="N87" s="24">
        <v>100</v>
      </c>
    </row>
    <row r="88" spans="4:14" ht="13" x14ac:dyDescent="0.15">
      <c r="D88" s="68"/>
      <c r="E88" s="65"/>
      <c r="F88" s="65"/>
      <c r="G88">
        <v>2</v>
      </c>
      <c r="H88" s="14">
        <v>12</v>
      </c>
      <c r="I88" s="14">
        <v>0.12</v>
      </c>
      <c r="J88" s="14">
        <v>0.12</v>
      </c>
      <c r="K88" s="14">
        <v>2</v>
      </c>
      <c r="L88" s="14">
        <v>533.33333330000005</v>
      </c>
      <c r="M88" s="14">
        <v>0.24</v>
      </c>
      <c r="N88" s="24">
        <v>100</v>
      </c>
    </row>
    <row r="89" spans="4:14" ht="13" x14ac:dyDescent="0.15">
      <c r="D89" s="68"/>
      <c r="E89" s="65"/>
      <c r="F89" s="65"/>
      <c r="G89">
        <v>3</v>
      </c>
      <c r="H89" s="14">
        <v>20</v>
      </c>
      <c r="I89" s="14">
        <v>0</v>
      </c>
      <c r="J89" s="14">
        <v>0.09</v>
      </c>
      <c r="K89" s="14">
        <v>2</v>
      </c>
      <c r="L89" s="14">
        <v>888.88888889999998</v>
      </c>
      <c r="M89" s="14">
        <v>0.09</v>
      </c>
      <c r="N89" s="24">
        <v>100</v>
      </c>
    </row>
    <row r="90" spans="4:14" ht="13" x14ac:dyDescent="0.15">
      <c r="D90" s="68"/>
      <c r="E90" s="65"/>
      <c r="F90" s="65"/>
      <c r="G90">
        <v>4</v>
      </c>
      <c r="H90" s="14">
        <v>15</v>
      </c>
      <c r="I90" s="14">
        <v>0.03</v>
      </c>
      <c r="J90" s="14">
        <v>0.08</v>
      </c>
      <c r="K90" s="14">
        <v>2</v>
      </c>
      <c r="L90" s="14">
        <v>666.66666669999995</v>
      </c>
      <c r="M90" s="14">
        <v>0.11</v>
      </c>
      <c r="N90" s="24">
        <v>100</v>
      </c>
    </row>
    <row r="91" spans="4:14" ht="13" x14ac:dyDescent="0.15">
      <c r="D91" s="68"/>
      <c r="E91" s="66"/>
      <c r="F91" s="66"/>
      <c r="G91" s="19">
        <v>5</v>
      </c>
      <c r="H91" s="50"/>
      <c r="I91" s="50"/>
      <c r="J91" s="50"/>
      <c r="K91" s="50"/>
      <c r="L91" s="50"/>
      <c r="M91" s="50"/>
      <c r="N91" s="53"/>
    </row>
    <row r="92" spans="4:14" ht="13" x14ac:dyDescent="0.15">
      <c r="D92" s="68"/>
      <c r="E92" s="64">
        <v>5</v>
      </c>
      <c r="F92" s="64">
        <v>1</v>
      </c>
      <c r="G92" s="21">
        <v>1</v>
      </c>
      <c r="H92" s="22">
        <v>187</v>
      </c>
      <c r="I92" s="22">
        <v>0.7</v>
      </c>
      <c r="J92" s="22">
        <v>0.5</v>
      </c>
      <c r="K92" s="22">
        <v>10</v>
      </c>
      <c r="L92" s="22">
        <v>8311</v>
      </c>
      <c r="M92" s="22">
        <v>1.2</v>
      </c>
      <c r="N92" s="23">
        <v>100</v>
      </c>
    </row>
    <row r="93" spans="4:14" ht="13" x14ac:dyDescent="0.15">
      <c r="D93" s="68"/>
      <c r="E93" s="65"/>
      <c r="F93" s="65"/>
      <c r="G93">
        <v>2</v>
      </c>
      <c r="H93" s="14">
        <v>145</v>
      </c>
      <c r="I93">
        <v>0.73</v>
      </c>
      <c r="J93">
        <v>0.68</v>
      </c>
      <c r="K93" s="14">
        <v>5</v>
      </c>
      <c r="L93" s="14">
        <v>6444</v>
      </c>
      <c r="M93" s="14">
        <v>1.41</v>
      </c>
      <c r="N93" s="24">
        <v>100</v>
      </c>
    </row>
    <row r="94" spans="4:14" ht="13" x14ac:dyDescent="0.15">
      <c r="D94" s="68"/>
      <c r="E94" s="65"/>
      <c r="F94" s="65"/>
      <c r="G94">
        <v>3</v>
      </c>
      <c r="H94" s="14">
        <v>202</v>
      </c>
      <c r="I94" s="14">
        <v>0.38</v>
      </c>
      <c r="J94" s="14">
        <v>0.42</v>
      </c>
      <c r="K94" s="14">
        <v>3</v>
      </c>
      <c r="L94" s="14">
        <v>8978</v>
      </c>
      <c r="M94" s="14">
        <v>0.8</v>
      </c>
      <c r="N94" s="24">
        <v>100</v>
      </c>
    </row>
    <row r="95" spans="4:14" ht="13" x14ac:dyDescent="0.15">
      <c r="D95" s="68"/>
      <c r="E95" s="65"/>
      <c r="F95" s="65"/>
      <c r="G95">
        <v>4</v>
      </c>
      <c r="H95" s="14">
        <v>29</v>
      </c>
      <c r="I95" s="14">
        <v>0.16</v>
      </c>
      <c r="J95" s="14">
        <v>0.17</v>
      </c>
      <c r="K95" s="14">
        <v>1</v>
      </c>
      <c r="L95" s="14">
        <v>1289</v>
      </c>
      <c r="M95" s="14">
        <v>0.33</v>
      </c>
      <c r="N95" s="24">
        <v>100</v>
      </c>
    </row>
    <row r="96" spans="4:14" ht="13" x14ac:dyDescent="0.15">
      <c r="D96" s="68"/>
      <c r="E96" s="65"/>
      <c r="F96" s="65"/>
      <c r="G96">
        <v>5</v>
      </c>
      <c r="H96" s="14">
        <v>44</v>
      </c>
      <c r="I96" s="14">
        <v>0.79</v>
      </c>
      <c r="J96" s="14">
        <v>0.23</v>
      </c>
      <c r="K96" s="14">
        <v>1</v>
      </c>
      <c r="L96" s="14">
        <v>1956</v>
      </c>
      <c r="M96" s="14">
        <v>1.02</v>
      </c>
      <c r="N96" s="24">
        <v>100</v>
      </c>
    </row>
    <row r="97" spans="4:14" ht="13" x14ac:dyDescent="0.15">
      <c r="D97" s="68"/>
      <c r="E97" s="65"/>
      <c r="F97" s="65">
        <v>2</v>
      </c>
      <c r="G97">
        <v>1</v>
      </c>
      <c r="H97" s="47"/>
      <c r="I97" s="47"/>
      <c r="J97" s="47"/>
      <c r="K97" s="47"/>
      <c r="L97" s="47"/>
      <c r="M97" s="47"/>
      <c r="N97" s="49"/>
    </row>
    <row r="98" spans="4:14" ht="13" x14ac:dyDescent="0.15">
      <c r="D98" s="68"/>
      <c r="E98" s="65"/>
      <c r="F98" s="65"/>
      <c r="G98">
        <v>2</v>
      </c>
      <c r="H98" s="47"/>
      <c r="I98" s="47"/>
      <c r="J98" s="47"/>
      <c r="K98" s="47"/>
      <c r="L98" s="47"/>
      <c r="M98" s="47"/>
      <c r="N98" s="49"/>
    </row>
    <row r="99" spans="4:14" ht="13" x14ac:dyDescent="0.15">
      <c r="D99" s="68"/>
      <c r="E99" s="65"/>
      <c r="F99" s="65"/>
      <c r="G99">
        <v>3</v>
      </c>
      <c r="H99" s="47"/>
      <c r="I99" s="47"/>
      <c r="J99" s="47"/>
      <c r="K99" s="47"/>
      <c r="L99" s="47"/>
      <c r="M99" s="47"/>
      <c r="N99" s="49"/>
    </row>
    <row r="100" spans="4:14" ht="13" x14ac:dyDescent="0.15">
      <c r="D100" s="68"/>
      <c r="E100" s="65"/>
      <c r="F100" s="65"/>
      <c r="G100">
        <v>4</v>
      </c>
      <c r="H100" s="47"/>
      <c r="I100" s="47"/>
      <c r="J100" s="47"/>
      <c r="K100" s="47"/>
      <c r="L100" s="47"/>
      <c r="M100" s="47"/>
      <c r="N100" s="49"/>
    </row>
    <row r="101" spans="4:14" ht="13" x14ac:dyDescent="0.15">
      <c r="D101" s="68"/>
      <c r="E101" s="65"/>
      <c r="F101" s="65"/>
      <c r="G101">
        <v>5</v>
      </c>
      <c r="H101" s="47"/>
      <c r="I101" s="47"/>
      <c r="J101" s="47"/>
      <c r="K101" s="47"/>
      <c r="L101" s="47"/>
      <c r="M101" s="47"/>
      <c r="N101" s="49"/>
    </row>
    <row r="102" spans="4:14" ht="13" x14ac:dyDescent="0.15">
      <c r="D102" s="68"/>
      <c r="E102" s="65"/>
      <c r="F102" s="65">
        <v>3</v>
      </c>
      <c r="G102">
        <v>1</v>
      </c>
      <c r="H102" s="14">
        <v>16</v>
      </c>
      <c r="I102" s="14">
        <v>0.14000000000000001</v>
      </c>
      <c r="J102" s="14">
        <v>0.55000000000000004</v>
      </c>
      <c r="K102" s="14">
        <v>1</v>
      </c>
      <c r="L102" s="14">
        <v>711</v>
      </c>
      <c r="M102" s="14">
        <v>0.69</v>
      </c>
      <c r="N102" s="24">
        <v>100</v>
      </c>
    </row>
    <row r="103" spans="4:14" ht="13" x14ac:dyDescent="0.15">
      <c r="D103" s="68"/>
      <c r="E103" s="65"/>
      <c r="F103" s="65"/>
      <c r="G103">
        <v>2</v>
      </c>
      <c r="H103" s="14">
        <v>32</v>
      </c>
      <c r="I103" s="47"/>
      <c r="J103" s="47"/>
      <c r="K103" s="47"/>
      <c r="L103" s="14">
        <v>1422</v>
      </c>
      <c r="M103" s="47"/>
      <c r="N103" s="24">
        <v>100</v>
      </c>
    </row>
    <row r="104" spans="4:14" ht="13" x14ac:dyDescent="0.15">
      <c r="D104" s="68"/>
      <c r="E104" s="65"/>
      <c r="F104" s="65"/>
      <c r="G104">
        <v>3</v>
      </c>
      <c r="H104" s="14">
        <v>63</v>
      </c>
      <c r="I104" s="14">
        <v>7.0000000000000007E-2</v>
      </c>
      <c r="J104" s="14">
        <v>0</v>
      </c>
      <c r="K104" s="14">
        <v>4</v>
      </c>
      <c r="L104" s="14">
        <v>2800</v>
      </c>
      <c r="M104" s="14">
        <v>7.0000000000000007E-2</v>
      </c>
      <c r="N104" s="24">
        <v>100</v>
      </c>
    </row>
    <row r="105" spans="4:14" ht="13" x14ac:dyDescent="0.15">
      <c r="D105" s="68"/>
      <c r="E105" s="65"/>
      <c r="F105" s="65"/>
      <c r="G105">
        <v>4</v>
      </c>
      <c r="H105" s="14">
        <v>44</v>
      </c>
      <c r="I105" s="14">
        <v>0.27</v>
      </c>
      <c r="J105" s="14">
        <v>0.21</v>
      </c>
      <c r="K105" s="14">
        <v>6</v>
      </c>
      <c r="L105" s="14">
        <v>1956</v>
      </c>
      <c r="M105" s="14">
        <v>0.48</v>
      </c>
      <c r="N105" s="24">
        <v>100</v>
      </c>
    </row>
    <row r="106" spans="4:14" ht="13" x14ac:dyDescent="0.15">
      <c r="D106" s="68"/>
      <c r="E106" s="66"/>
      <c r="F106" s="66"/>
      <c r="G106" s="19">
        <v>5</v>
      </c>
      <c r="H106" s="20">
        <v>52</v>
      </c>
      <c r="I106" s="20">
        <v>0.28000000000000003</v>
      </c>
      <c r="J106" s="20">
        <v>0.33</v>
      </c>
      <c r="K106" s="20">
        <v>0</v>
      </c>
      <c r="L106" s="20">
        <v>2311</v>
      </c>
      <c r="M106" s="20">
        <v>0.61</v>
      </c>
      <c r="N106" s="25">
        <v>100</v>
      </c>
    </row>
    <row r="107" spans="4:14" ht="13" x14ac:dyDescent="0.15">
      <c r="D107" s="68"/>
      <c r="E107" s="64">
        <v>6</v>
      </c>
      <c r="F107" s="64">
        <v>1</v>
      </c>
      <c r="G107" s="21">
        <v>1</v>
      </c>
      <c r="H107" s="14">
        <v>68</v>
      </c>
      <c r="I107" s="14">
        <v>0.28000000000000003</v>
      </c>
      <c r="J107" s="14">
        <v>0.26</v>
      </c>
      <c r="K107" s="14">
        <v>5</v>
      </c>
      <c r="L107" s="14">
        <v>3022.2222219999999</v>
      </c>
      <c r="M107" s="14">
        <v>0.54</v>
      </c>
      <c r="N107" s="14">
        <v>100</v>
      </c>
    </row>
    <row r="108" spans="4:14" ht="13" x14ac:dyDescent="0.15">
      <c r="D108" s="68"/>
      <c r="E108" s="65"/>
      <c r="F108" s="65"/>
      <c r="G108">
        <v>2</v>
      </c>
      <c r="H108" s="14">
        <v>39</v>
      </c>
      <c r="I108" s="8">
        <v>0.21</v>
      </c>
      <c r="J108" s="8">
        <v>0.24</v>
      </c>
      <c r="K108" s="14">
        <v>5</v>
      </c>
      <c r="L108" s="14">
        <v>1733.333333</v>
      </c>
      <c r="M108" s="14">
        <v>0.45</v>
      </c>
      <c r="N108" s="14">
        <v>100</v>
      </c>
    </row>
    <row r="109" spans="4:14" ht="13" x14ac:dyDescent="0.15">
      <c r="D109" s="68"/>
      <c r="E109" s="65"/>
      <c r="F109" s="65"/>
      <c r="G109">
        <v>3</v>
      </c>
      <c r="H109" s="17">
        <v>185</v>
      </c>
      <c r="I109" s="17">
        <v>0.6</v>
      </c>
      <c r="J109" s="17">
        <v>1.5</v>
      </c>
      <c r="K109" s="14">
        <v>17</v>
      </c>
      <c r="L109" s="60"/>
      <c r="M109" s="17">
        <v>2.1</v>
      </c>
      <c r="N109" s="17">
        <v>20</v>
      </c>
    </row>
    <row r="110" spans="4:14" ht="13" x14ac:dyDescent="0.15">
      <c r="D110" s="68"/>
      <c r="E110" s="65"/>
      <c r="F110" s="65"/>
      <c r="G110">
        <v>4</v>
      </c>
      <c r="H110" s="58"/>
      <c r="I110" s="58"/>
      <c r="J110" s="58"/>
      <c r="K110" s="59"/>
      <c r="L110" s="59"/>
      <c r="M110" s="58"/>
      <c r="N110" s="58"/>
    </row>
    <row r="111" spans="4:14" ht="13" x14ac:dyDescent="0.15">
      <c r="D111" s="68"/>
      <c r="E111" s="65"/>
      <c r="F111" s="65"/>
      <c r="G111">
        <v>5</v>
      </c>
      <c r="H111" s="14">
        <v>85</v>
      </c>
      <c r="I111" s="14">
        <v>0.24</v>
      </c>
      <c r="J111" s="14">
        <v>0.23</v>
      </c>
      <c r="K111" s="14">
        <v>7</v>
      </c>
      <c r="L111" s="14">
        <v>3777.7777780000001</v>
      </c>
      <c r="M111" s="14">
        <v>0.47</v>
      </c>
      <c r="N111" s="14">
        <v>100</v>
      </c>
    </row>
    <row r="112" spans="4:14" ht="13" x14ac:dyDescent="0.15">
      <c r="D112" s="68"/>
      <c r="E112" s="65"/>
      <c r="F112" s="65">
        <v>2</v>
      </c>
      <c r="G112">
        <v>1</v>
      </c>
      <c r="H112" s="17">
        <v>180</v>
      </c>
      <c r="I112" s="17">
        <v>1.5</v>
      </c>
      <c r="J112" s="17">
        <v>1.6</v>
      </c>
      <c r="K112" s="14">
        <v>5</v>
      </c>
      <c r="L112" s="60"/>
      <c r="M112" s="17">
        <v>3.1</v>
      </c>
      <c r="N112" s="17">
        <v>10</v>
      </c>
    </row>
    <row r="113" spans="4:14" ht="13" x14ac:dyDescent="0.15">
      <c r="D113" s="68"/>
      <c r="E113" s="65"/>
      <c r="F113" s="65"/>
      <c r="G113">
        <v>2</v>
      </c>
      <c r="H113" s="17">
        <v>98.588709679999994</v>
      </c>
      <c r="I113" s="17">
        <v>1.577419355</v>
      </c>
      <c r="J113" s="17">
        <v>0.55209677420000003</v>
      </c>
      <c r="K113" s="14">
        <v>5</v>
      </c>
      <c r="L113" s="14">
        <v>17279.526539999999</v>
      </c>
      <c r="M113" s="14">
        <v>2.1295161290000002</v>
      </c>
      <c r="N113" s="14">
        <v>25.357873210000001</v>
      </c>
    </row>
    <row r="114" spans="4:14" ht="13" x14ac:dyDescent="0.15">
      <c r="D114" s="68"/>
      <c r="E114" s="65"/>
      <c r="F114" s="65"/>
      <c r="G114">
        <v>3</v>
      </c>
      <c r="H114" s="14">
        <v>164</v>
      </c>
      <c r="I114" s="14">
        <v>1.02</v>
      </c>
      <c r="J114" s="14">
        <v>0.95</v>
      </c>
      <c r="K114" s="60"/>
      <c r="L114" s="14">
        <v>7288.8888889999998</v>
      </c>
      <c r="M114" s="14">
        <v>1.97</v>
      </c>
      <c r="N114" s="14">
        <v>100</v>
      </c>
    </row>
    <row r="115" spans="4:14" ht="13" x14ac:dyDescent="0.15">
      <c r="D115" s="68"/>
      <c r="E115" s="65"/>
      <c r="F115" s="65"/>
      <c r="G115">
        <v>4</v>
      </c>
      <c r="H115" s="17">
        <v>112.3736842</v>
      </c>
      <c r="I115" s="17">
        <v>2.1793684209999999</v>
      </c>
      <c r="J115" s="17">
        <v>1.6345263160000001</v>
      </c>
      <c r="K115" s="14">
        <v>5</v>
      </c>
      <c r="L115" s="17">
        <v>17007.198520000002</v>
      </c>
      <c r="M115" s="17">
        <v>3.813894737</v>
      </c>
      <c r="N115" s="14">
        <v>29.366306030000001</v>
      </c>
    </row>
    <row r="116" spans="4:14" ht="13" x14ac:dyDescent="0.15">
      <c r="D116" s="68"/>
      <c r="E116" s="65"/>
      <c r="F116" s="65"/>
      <c r="G116">
        <v>5</v>
      </c>
      <c r="H116" s="17">
        <v>92.817021280000006</v>
      </c>
      <c r="I116" s="17">
        <v>0.95259574469999997</v>
      </c>
      <c r="J116" s="17">
        <v>1.538808511</v>
      </c>
      <c r="K116" s="14">
        <v>17</v>
      </c>
      <c r="L116" s="17">
        <v>10076.02274</v>
      </c>
      <c r="M116" s="17">
        <v>2.491404255</v>
      </c>
      <c r="N116" s="14">
        <v>40.940766549999999</v>
      </c>
    </row>
    <row r="117" spans="4:14" ht="13" x14ac:dyDescent="0.15">
      <c r="D117" s="68"/>
      <c r="E117" s="65"/>
      <c r="F117" s="65">
        <v>3</v>
      </c>
      <c r="G117">
        <v>1</v>
      </c>
      <c r="H117" s="17">
        <v>179.90967739999999</v>
      </c>
      <c r="I117" s="17">
        <v>1.528</v>
      </c>
      <c r="J117" s="17">
        <v>1.0350967740000001</v>
      </c>
      <c r="K117" s="14">
        <v>5</v>
      </c>
      <c r="L117" s="60"/>
      <c r="M117" s="17">
        <v>2.5630967739999999</v>
      </c>
      <c r="N117" s="14">
        <v>40.575916229999997</v>
      </c>
    </row>
    <row r="118" spans="4:14" ht="13" x14ac:dyDescent="0.15">
      <c r="D118" s="68"/>
      <c r="E118" s="65"/>
      <c r="F118" s="65"/>
      <c r="G118">
        <v>2</v>
      </c>
      <c r="H118" s="15"/>
      <c r="I118" s="15"/>
      <c r="J118" s="15"/>
      <c r="K118" s="15"/>
      <c r="L118" s="15"/>
      <c r="M118" s="15"/>
      <c r="N118" s="29"/>
    </row>
    <row r="119" spans="4:14" ht="13" x14ac:dyDescent="0.15">
      <c r="D119" s="68"/>
      <c r="E119" s="65"/>
      <c r="F119" s="65"/>
      <c r="G119">
        <v>3</v>
      </c>
      <c r="H119" s="15"/>
      <c r="I119" s="15"/>
      <c r="J119" s="15"/>
      <c r="K119" s="15"/>
      <c r="L119" s="15"/>
      <c r="M119" s="15"/>
      <c r="N119" s="29"/>
    </row>
    <row r="120" spans="4:14" ht="13" x14ac:dyDescent="0.15">
      <c r="D120" s="68"/>
      <c r="E120" s="65"/>
      <c r="F120" s="65"/>
      <c r="G120">
        <v>4</v>
      </c>
      <c r="H120" s="15"/>
      <c r="I120" s="15"/>
      <c r="J120" s="15"/>
      <c r="K120" s="15"/>
      <c r="L120" s="15"/>
      <c r="M120" s="15"/>
      <c r="N120" s="29"/>
    </row>
    <row r="121" spans="4:14" ht="13" x14ac:dyDescent="0.15">
      <c r="D121" s="69"/>
      <c r="E121" s="66"/>
      <c r="F121" s="66"/>
      <c r="G121" s="19">
        <v>5</v>
      </c>
      <c r="H121" s="56"/>
      <c r="I121" s="56"/>
      <c r="J121" s="56"/>
      <c r="K121" s="56"/>
      <c r="L121" s="56"/>
      <c r="M121" s="56"/>
      <c r="N121" s="57"/>
    </row>
    <row r="122" spans="4:14" ht="13" x14ac:dyDescent="0.15">
      <c r="D122" s="76" t="s">
        <v>51</v>
      </c>
      <c r="E122" s="64">
        <v>9</v>
      </c>
      <c r="F122" s="64">
        <v>1</v>
      </c>
      <c r="G122" s="21">
        <v>1</v>
      </c>
      <c r="H122" s="27"/>
      <c r="I122" s="27"/>
      <c r="J122" s="27"/>
      <c r="K122" s="27"/>
      <c r="L122" s="27"/>
      <c r="M122" s="27"/>
      <c r="N122" s="28"/>
    </row>
    <row r="123" spans="4:14" ht="13" x14ac:dyDescent="0.15">
      <c r="D123" s="68"/>
      <c r="E123" s="65"/>
      <c r="F123" s="65"/>
      <c r="G123">
        <v>2</v>
      </c>
      <c r="H123" s="17">
        <f>50/N123*100</f>
        <v>1134.1176470449473</v>
      </c>
      <c r="I123" s="12">
        <f>0.37/N123*100</f>
        <v>8.3924705881326105</v>
      </c>
      <c r="J123" s="12">
        <f>0.48/N123*100</f>
        <v>10.887529411631492</v>
      </c>
      <c r="K123" s="60"/>
      <c r="L123" s="60"/>
      <c r="M123" s="60"/>
      <c r="N123" s="30">
        <v>4.4087136930000002</v>
      </c>
    </row>
    <row r="124" spans="4:14" ht="13" x14ac:dyDescent="0.15">
      <c r="D124" s="68"/>
      <c r="E124" s="65"/>
      <c r="F124" s="65"/>
      <c r="G124">
        <v>3</v>
      </c>
      <c r="H124" s="15"/>
      <c r="I124" s="15"/>
      <c r="J124" s="15"/>
      <c r="K124" s="15"/>
      <c r="L124" s="16"/>
      <c r="M124" s="15"/>
      <c r="N124" s="29"/>
    </row>
    <row r="125" spans="4:14" ht="13" x14ac:dyDescent="0.15">
      <c r="D125" s="68"/>
      <c r="E125" s="65"/>
      <c r="F125" s="65"/>
      <c r="G125">
        <v>4</v>
      </c>
      <c r="H125" s="14">
        <v>1461</v>
      </c>
      <c r="I125" s="14">
        <v>1.39</v>
      </c>
      <c r="J125" s="14">
        <v>4.32</v>
      </c>
      <c r="K125" s="14">
        <v>12</v>
      </c>
      <c r="L125" s="60"/>
      <c r="M125" s="14">
        <v>5.71</v>
      </c>
      <c r="N125" s="24">
        <v>100</v>
      </c>
    </row>
    <row r="126" spans="4:14" ht="13" x14ac:dyDescent="0.15">
      <c r="D126" s="68"/>
      <c r="E126" s="65"/>
      <c r="F126" s="65"/>
      <c r="G126">
        <v>5</v>
      </c>
      <c r="H126" s="17">
        <f>41/N126*100</f>
        <v>761.82432429858704</v>
      </c>
      <c r="I126" s="17">
        <f>0.36/N126*100</f>
        <v>6.6891891889632031</v>
      </c>
      <c r="J126" s="17">
        <f>0.38/N126*100</f>
        <v>7.0608108105722698</v>
      </c>
      <c r="K126" s="14">
        <v>25</v>
      </c>
      <c r="L126" s="17">
        <v>33858.85886</v>
      </c>
      <c r="M126" s="60"/>
      <c r="N126" s="30">
        <v>5.381818182</v>
      </c>
    </row>
    <row r="127" spans="4:14" ht="13" x14ac:dyDescent="0.15">
      <c r="D127" s="68"/>
      <c r="E127" s="65"/>
      <c r="F127" s="65">
        <v>2</v>
      </c>
      <c r="G127">
        <v>1</v>
      </c>
      <c r="H127" s="17">
        <f>37/N127*100</f>
        <v>708.99999993331562</v>
      </c>
      <c r="I127" s="17">
        <f>0.27/N127*100</f>
        <v>5.1737837832971687</v>
      </c>
      <c r="J127" s="17">
        <f>0.1/N127*100</f>
        <v>1.9162162160359886</v>
      </c>
      <c r="K127" s="14">
        <v>17</v>
      </c>
      <c r="L127" s="17">
        <v>31511.111110000002</v>
      </c>
      <c r="M127" s="17">
        <v>7.09</v>
      </c>
      <c r="N127" s="30">
        <v>5.218617772</v>
      </c>
    </row>
    <row r="128" spans="4:14" ht="13" x14ac:dyDescent="0.15">
      <c r="D128" s="68"/>
      <c r="E128" s="65"/>
      <c r="F128" s="65"/>
      <c r="G128">
        <v>2</v>
      </c>
      <c r="H128" s="17">
        <f>121/N128*100</f>
        <v>1056.7685589519651</v>
      </c>
      <c r="I128" s="17">
        <f>0.72/N128*100</f>
        <v>6.2882096069869</v>
      </c>
      <c r="J128" s="17">
        <f>0.19/N128*100</f>
        <v>1.6593886462882095</v>
      </c>
      <c r="K128" s="14">
        <v>20</v>
      </c>
      <c r="L128" s="17">
        <v>46981.684979999998</v>
      </c>
      <c r="M128" s="17">
        <v>7.95</v>
      </c>
      <c r="N128" s="30">
        <v>11.45</v>
      </c>
    </row>
    <row r="129" spans="4:14" ht="13" x14ac:dyDescent="0.15">
      <c r="D129" s="68"/>
      <c r="E129" s="65"/>
      <c r="F129" s="65"/>
      <c r="G129">
        <v>3</v>
      </c>
      <c r="H129" s="17">
        <f>21/N129*100</f>
        <v>355.93220338983048</v>
      </c>
      <c r="I129" s="17">
        <f>0.16/N129*100</f>
        <v>2.7118644067796609</v>
      </c>
      <c r="J129" s="17">
        <f>0.06/N129*100</f>
        <v>1.0169491525423728</v>
      </c>
      <c r="K129" s="14">
        <v>7</v>
      </c>
      <c r="L129" s="17">
        <v>15824.24242</v>
      </c>
      <c r="M129" s="17">
        <v>3.73</v>
      </c>
      <c r="N129" s="30">
        <v>5.9</v>
      </c>
    </row>
    <row r="130" spans="4:14" ht="13" x14ac:dyDescent="0.15">
      <c r="D130" s="68"/>
      <c r="E130" s="65"/>
      <c r="F130" s="65"/>
      <c r="G130">
        <v>4</v>
      </c>
      <c r="H130" s="14">
        <v>382</v>
      </c>
      <c r="I130" s="14">
        <v>0.18</v>
      </c>
      <c r="J130" s="14">
        <v>0.55000000000000004</v>
      </c>
      <c r="K130" s="14">
        <v>2</v>
      </c>
      <c r="L130" s="14">
        <v>16977.77778</v>
      </c>
      <c r="M130" s="14">
        <v>0.73</v>
      </c>
      <c r="N130" s="24">
        <v>100</v>
      </c>
    </row>
    <row r="131" spans="4:14" ht="13" x14ac:dyDescent="0.15">
      <c r="D131" s="68"/>
      <c r="E131" s="65"/>
      <c r="F131" s="65"/>
      <c r="G131">
        <v>5</v>
      </c>
      <c r="H131" s="17">
        <f>30/N131*100</f>
        <v>501.00000000801606</v>
      </c>
      <c r="I131" s="17">
        <f>0.32/N131*100</f>
        <v>5.3440000000855044</v>
      </c>
      <c r="J131" s="17">
        <f>0.08/N131*100</f>
        <v>1.3360000000213761</v>
      </c>
      <c r="K131" s="14">
        <v>17</v>
      </c>
      <c r="L131" s="17">
        <v>22266.666669999999</v>
      </c>
      <c r="M131" s="17">
        <v>6.68</v>
      </c>
      <c r="N131" s="30">
        <v>5.9880239519999998</v>
      </c>
    </row>
    <row r="132" spans="4:14" ht="12.75" customHeight="1" x14ac:dyDescent="0.15">
      <c r="D132" s="68"/>
      <c r="E132" s="65"/>
      <c r="F132" s="65">
        <v>3</v>
      </c>
      <c r="G132">
        <v>1</v>
      </c>
      <c r="H132" s="17">
        <f>8/N132*100</f>
        <v>186.28571426868245</v>
      </c>
      <c r="I132" s="12">
        <f>0.1/N132*100</f>
        <v>2.3285714283585306</v>
      </c>
      <c r="J132" s="17">
        <f>0.07/N132*100</f>
        <v>1.6299999998509715</v>
      </c>
      <c r="K132" s="14">
        <v>5</v>
      </c>
      <c r="L132" s="17">
        <v>8279.3650789999992</v>
      </c>
      <c r="M132" s="17">
        <v>1.63</v>
      </c>
      <c r="N132" s="30">
        <v>4.294478528</v>
      </c>
    </row>
    <row r="133" spans="4:14" ht="12.75" customHeight="1" x14ac:dyDescent="0.15">
      <c r="D133" s="68"/>
      <c r="E133" s="65"/>
      <c r="F133" s="65"/>
      <c r="G133">
        <v>2</v>
      </c>
      <c r="H133" s="14">
        <v>390</v>
      </c>
      <c r="I133" s="14">
        <v>0.75</v>
      </c>
      <c r="J133" s="14">
        <v>0.31</v>
      </c>
      <c r="K133" s="14">
        <v>5</v>
      </c>
      <c r="L133" s="14">
        <v>17333.333330000001</v>
      </c>
      <c r="M133" s="14">
        <v>1.06</v>
      </c>
      <c r="N133" s="24">
        <v>100</v>
      </c>
    </row>
    <row r="134" spans="4:14" ht="12.75" customHeight="1" x14ac:dyDescent="0.15">
      <c r="D134" s="68"/>
      <c r="E134" s="65"/>
      <c r="F134" s="65"/>
      <c r="G134">
        <v>3</v>
      </c>
      <c r="H134" s="14">
        <v>37</v>
      </c>
      <c r="I134" s="14">
        <v>0.04</v>
      </c>
      <c r="J134" s="14">
        <v>0.04</v>
      </c>
      <c r="K134" s="14">
        <v>1</v>
      </c>
      <c r="L134" s="14">
        <v>1644.444444</v>
      </c>
      <c r="M134" s="14">
        <v>0.08</v>
      </c>
      <c r="N134" s="24">
        <v>100</v>
      </c>
    </row>
    <row r="135" spans="4:14" ht="12.75" customHeight="1" x14ac:dyDescent="0.15">
      <c r="D135" s="68"/>
      <c r="E135" s="65"/>
      <c r="F135" s="65"/>
      <c r="G135">
        <v>4</v>
      </c>
      <c r="H135" s="17">
        <f>52/N135*100</f>
        <v>1178.6666666352357</v>
      </c>
      <c r="I135" s="17">
        <f>0.3/N135*100</f>
        <v>6.7999999998186667</v>
      </c>
      <c r="J135" s="17">
        <v>0</v>
      </c>
      <c r="K135" s="14">
        <v>17</v>
      </c>
      <c r="L135" s="17">
        <v>52385.185189999997</v>
      </c>
      <c r="M135" s="17">
        <v>6.8</v>
      </c>
      <c r="N135" s="30">
        <v>4.4117647059999996</v>
      </c>
    </row>
    <row r="136" spans="4:14" ht="12.75" customHeight="1" x14ac:dyDescent="0.15">
      <c r="D136" s="68"/>
      <c r="E136" s="66"/>
      <c r="F136" s="66"/>
      <c r="G136" s="19">
        <v>5</v>
      </c>
      <c r="H136" s="34">
        <f>36/N136*100</f>
        <v>682.75862065434001</v>
      </c>
      <c r="I136" s="34">
        <f>0.24/N136*100</f>
        <v>4.5517241376955999</v>
      </c>
      <c r="J136" s="34">
        <f>0.05/N136*100</f>
        <v>0.94827586201991676</v>
      </c>
      <c r="K136" s="20">
        <v>12</v>
      </c>
      <c r="L136" s="34">
        <v>30344.827590000001</v>
      </c>
      <c r="M136" s="34">
        <v>5.5</v>
      </c>
      <c r="N136" s="35">
        <v>5.2727272730000001</v>
      </c>
    </row>
    <row r="137" spans="4:14" ht="12.75" customHeight="1" x14ac:dyDescent="0.15">
      <c r="D137" s="68"/>
      <c r="E137" s="65">
        <v>10</v>
      </c>
      <c r="F137" s="65">
        <v>1</v>
      </c>
      <c r="G137">
        <v>1</v>
      </c>
      <c r="H137" s="15"/>
      <c r="I137" s="15"/>
      <c r="J137" s="15"/>
      <c r="K137" s="14">
        <v>25</v>
      </c>
      <c r="N137" s="31"/>
    </row>
    <row r="138" spans="4:14" ht="12.75" customHeight="1" x14ac:dyDescent="0.15">
      <c r="D138" s="68"/>
      <c r="E138" s="65"/>
      <c r="F138" s="65"/>
      <c r="G138">
        <v>2</v>
      </c>
      <c r="H138" s="15"/>
      <c r="I138" s="15"/>
      <c r="J138" s="15"/>
      <c r="K138" s="14">
        <v>17</v>
      </c>
      <c r="N138" s="31"/>
    </row>
    <row r="139" spans="4:14" ht="12.75" customHeight="1" x14ac:dyDescent="0.15">
      <c r="D139" s="68"/>
      <c r="E139" s="65"/>
      <c r="F139" s="65"/>
      <c r="G139">
        <v>3</v>
      </c>
      <c r="H139" s="18">
        <v>652</v>
      </c>
      <c r="I139" s="18">
        <v>1.4</v>
      </c>
      <c r="J139" s="18">
        <v>5.34</v>
      </c>
      <c r="K139" s="14">
        <v>38</v>
      </c>
      <c r="L139" s="18">
        <v>28977.77778</v>
      </c>
      <c r="M139" s="18">
        <v>6.74</v>
      </c>
      <c r="N139" s="32">
        <v>100</v>
      </c>
    </row>
    <row r="140" spans="4:14" ht="12.75" customHeight="1" x14ac:dyDescent="0.15">
      <c r="D140" s="68"/>
      <c r="E140" s="65"/>
      <c r="F140" s="65"/>
      <c r="G140">
        <v>4</v>
      </c>
      <c r="H140" s="15"/>
      <c r="I140" s="15"/>
      <c r="J140" s="15"/>
      <c r="K140" s="14">
        <v>17</v>
      </c>
      <c r="L140" s="14"/>
      <c r="N140" s="31"/>
    </row>
    <row r="141" spans="4:14" ht="12.75" customHeight="1" x14ac:dyDescent="0.15">
      <c r="D141" s="68"/>
      <c r="E141" s="65"/>
      <c r="F141" s="65"/>
      <c r="G141">
        <v>5</v>
      </c>
      <c r="H141" s="18">
        <v>708</v>
      </c>
      <c r="I141" s="18">
        <v>0.91</v>
      </c>
      <c r="J141" s="18">
        <v>4.1399999999999997</v>
      </c>
      <c r="K141" s="14">
        <v>7</v>
      </c>
      <c r="L141" s="18">
        <v>31466.666669999999</v>
      </c>
      <c r="M141" s="18">
        <v>5.05</v>
      </c>
      <c r="N141" s="32">
        <v>100</v>
      </c>
    </row>
    <row r="142" spans="4:14" ht="12.75" customHeight="1" x14ac:dyDescent="0.15">
      <c r="D142" s="68"/>
      <c r="E142" s="65"/>
      <c r="F142" s="65">
        <v>2</v>
      </c>
      <c r="G142">
        <v>1</v>
      </c>
      <c r="H142" s="18">
        <v>1341</v>
      </c>
      <c r="I142" s="18">
        <v>1.02</v>
      </c>
      <c r="J142" s="18">
        <v>5.56</v>
      </c>
      <c r="K142" s="14">
        <v>38</v>
      </c>
      <c r="L142" s="18">
        <v>59600</v>
      </c>
      <c r="M142" s="18">
        <v>6.58</v>
      </c>
      <c r="N142" s="32">
        <v>100</v>
      </c>
    </row>
    <row r="143" spans="4:14" ht="12.75" customHeight="1" x14ac:dyDescent="0.15">
      <c r="D143" s="68"/>
      <c r="E143" s="65"/>
      <c r="F143" s="65"/>
      <c r="G143">
        <v>2</v>
      </c>
      <c r="H143" s="15"/>
      <c r="I143" s="15"/>
      <c r="J143" s="15"/>
      <c r="K143" s="14">
        <v>17</v>
      </c>
      <c r="L143" s="14"/>
      <c r="N143" s="31"/>
    </row>
    <row r="144" spans="4:14" ht="12.75" customHeight="1" x14ac:dyDescent="0.15">
      <c r="D144" s="68"/>
      <c r="E144" s="65"/>
      <c r="F144" s="65"/>
      <c r="G144">
        <v>3</v>
      </c>
      <c r="H144" s="18">
        <v>978</v>
      </c>
      <c r="I144" s="18">
        <v>1.1100000000000001</v>
      </c>
      <c r="J144" s="18">
        <v>6.99</v>
      </c>
      <c r="K144" s="14">
        <v>25</v>
      </c>
      <c r="L144" s="18">
        <v>43466.666669999999</v>
      </c>
      <c r="M144" s="18">
        <v>8.1</v>
      </c>
      <c r="N144" s="32">
        <v>100</v>
      </c>
    </row>
    <row r="145" spans="4:14" ht="12.75" customHeight="1" x14ac:dyDescent="0.15">
      <c r="D145" s="68"/>
      <c r="E145" s="65"/>
      <c r="F145" s="65"/>
      <c r="G145">
        <v>4</v>
      </c>
      <c r="H145" s="15"/>
      <c r="I145" s="15"/>
      <c r="J145" s="15"/>
      <c r="K145" s="14">
        <v>17</v>
      </c>
      <c r="L145" s="16"/>
      <c r="M145" s="15"/>
      <c r="N145" s="29"/>
    </row>
    <row r="146" spans="4:14" ht="12.75" customHeight="1" x14ac:dyDescent="0.15">
      <c r="D146" s="68"/>
      <c r="E146" s="65"/>
      <c r="F146" s="65"/>
      <c r="G146">
        <v>5</v>
      </c>
      <c r="H146" s="15"/>
      <c r="I146" s="15"/>
      <c r="J146" s="15"/>
      <c r="K146" s="14">
        <v>25</v>
      </c>
      <c r="L146" s="16"/>
      <c r="M146" s="15"/>
      <c r="N146" s="29"/>
    </row>
    <row r="147" spans="4:14" ht="12.75" customHeight="1" x14ac:dyDescent="0.15">
      <c r="D147" s="68"/>
      <c r="E147" s="65"/>
      <c r="F147" s="65">
        <v>3</v>
      </c>
      <c r="G147">
        <v>1</v>
      </c>
      <c r="H147" s="15"/>
      <c r="I147" s="15"/>
      <c r="J147" s="15"/>
      <c r="K147" s="14">
        <v>17</v>
      </c>
      <c r="L147" s="16"/>
      <c r="M147" s="15"/>
      <c r="N147" s="29"/>
    </row>
    <row r="148" spans="4:14" ht="12.75" customHeight="1" x14ac:dyDescent="0.15">
      <c r="D148" s="68"/>
      <c r="E148" s="65"/>
      <c r="F148" s="65"/>
      <c r="G148">
        <v>2</v>
      </c>
      <c r="H148" s="15"/>
      <c r="I148" s="15"/>
      <c r="J148" s="15"/>
      <c r="K148" s="14">
        <v>25</v>
      </c>
      <c r="L148" s="16"/>
      <c r="M148" s="15"/>
      <c r="N148" s="29"/>
    </row>
    <row r="149" spans="4:14" ht="12.75" customHeight="1" x14ac:dyDescent="0.15">
      <c r="D149" s="68"/>
      <c r="E149" s="65"/>
      <c r="F149" s="65"/>
      <c r="G149">
        <v>3</v>
      </c>
      <c r="H149" s="14">
        <v>581</v>
      </c>
      <c r="I149" s="17">
        <f>0.18/N149*100</f>
        <v>0.85714285714285721</v>
      </c>
      <c r="J149" s="17">
        <f>1.19/N149*100</f>
        <v>5.6666666666666661</v>
      </c>
      <c r="K149" s="14">
        <v>17</v>
      </c>
      <c r="L149" s="14">
        <v>25822.22222</v>
      </c>
      <c r="M149" s="17">
        <f>J149+I149</f>
        <v>6.5238095238095237</v>
      </c>
      <c r="N149" s="30">
        <v>21</v>
      </c>
    </row>
    <row r="150" spans="4:14" ht="12.75" customHeight="1" x14ac:dyDescent="0.15">
      <c r="D150" s="68"/>
      <c r="E150" s="65"/>
      <c r="F150" s="65"/>
      <c r="G150">
        <v>4</v>
      </c>
      <c r="H150" s="15"/>
      <c r="I150" s="15"/>
      <c r="J150" s="15"/>
      <c r="K150" s="14">
        <v>12</v>
      </c>
      <c r="L150" s="14"/>
      <c r="N150" s="31"/>
    </row>
    <row r="151" spans="4:14" ht="12.75" customHeight="1" x14ac:dyDescent="0.15">
      <c r="D151" s="69"/>
      <c r="E151" s="66"/>
      <c r="F151" s="66"/>
      <c r="G151" s="19">
        <v>5</v>
      </c>
      <c r="H151" s="26">
        <v>279</v>
      </c>
      <c r="I151" s="26">
        <v>0.48</v>
      </c>
      <c r="J151" s="26">
        <v>1.0900000000000001</v>
      </c>
      <c r="K151" s="20">
        <v>45</v>
      </c>
      <c r="L151" s="26">
        <v>12400</v>
      </c>
      <c r="M151" s="26">
        <v>1.57</v>
      </c>
      <c r="N151" s="33">
        <v>100</v>
      </c>
    </row>
    <row r="152" spans="4:14" ht="12.75" customHeight="1" x14ac:dyDescent="0.15">
      <c r="D152" s="76" t="s">
        <v>52</v>
      </c>
      <c r="E152" s="64">
        <v>11</v>
      </c>
      <c r="F152" s="64">
        <v>1</v>
      </c>
      <c r="G152" s="21">
        <v>1</v>
      </c>
      <c r="H152" s="22">
        <v>61</v>
      </c>
      <c r="I152" s="22">
        <v>0.31</v>
      </c>
      <c r="J152" s="22">
        <v>0.48</v>
      </c>
      <c r="K152" s="22">
        <v>2</v>
      </c>
      <c r="L152" s="22">
        <v>2711.1111110000002</v>
      </c>
      <c r="M152" s="22">
        <v>0.71</v>
      </c>
      <c r="N152" s="23">
        <v>100</v>
      </c>
    </row>
    <row r="153" spans="4:14" ht="12.75" customHeight="1" x14ac:dyDescent="0.15">
      <c r="D153" s="68"/>
      <c r="E153" s="65"/>
      <c r="F153" s="65"/>
      <c r="G153">
        <v>2</v>
      </c>
      <c r="H153" s="17">
        <f>17/N153*100</f>
        <v>83.785714295888255</v>
      </c>
      <c r="I153" s="43">
        <f>0.1/N153*100</f>
        <v>0.49285714291698979</v>
      </c>
      <c r="J153" s="43">
        <f>0.13/N153*100</f>
        <v>0.64071428579208678</v>
      </c>
      <c r="K153" s="14">
        <v>15</v>
      </c>
      <c r="L153" s="17">
        <v>3723.8095239999998</v>
      </c>
      <c r="M153" s="17">
        <f>I153+J153</f>
        <v>1.1335714287090766</v>
      </c>
      <c r="N153" s="30">
        <v>20.289855070000002</v>
      </c>
    </row>
    <row r="154" spans="4:14" ht="12.75" customHeight="1" x14ac:dyDescent="0.15">
      <c r="D154" s="68"/>
      <c r="E154" s="65"/>
      <c r="F154" s="65"/>
      <c r="G154">
        <v>3</v>
      </c>
      <c r="H154" s="47"/>
      <c r="I154" s="47"/>
      <c r="J154" s="47"/>
      <c r="K154" s="47"/>
      <c r="L154" s="48"/>
      <c r="M154" s="48"/>
      <c r="N154" s="52"/>
    </row>
    <row r="155" spans="4:14" ht="12.75" customHeight="1" x14ac:dyDescent="0.15">
      <c r="D155" s="68"/>
      <c r="E155" s="65"/>
      <c r="F155" s="65"/>
      <c r="G155">
        <v>4</v>
      </c>
      <c r="H155" s="47"/>
      <c r="I155" s="47"/>
      <c r="J155" s="47"/>
      <c r="K155" s="47"/>
      <c r="L155" s="48"/>
      <c r="M155" s="48"/>
      <c r="N155" s="52"/>
    </row>
    <row r="156" spans="4:14" ht="12.75" customHeight="1" x14ac:dyDescent="0.15">
      <c r="D156" s="68"/>
      <c r="E156" s="65"/>
      <c r="F156" s="65"/>
      <c r="G156">
        <v>5</v>
      </c>
      <c r="H156" s="17">
        <f>48/N156*100</f>
        <v>132.14117648799976</v>
      </c>
      <c r="I156" s="17">
        <f>0.19/N156*100</f>
        <v>0.52305882359833245</v>
      </c>
      <c r="J156" s="17">
        <f>0.66/N156*100</f>
        <v>1.816941176709997</v>
      </c>
      <c r="K156" s="14">
        <v>9</v>
      </c>
      <c r="L156" s="17">
        <v>5872.9411760000003</v>
      </c>
      <c r="M156" s="17">
        <f>I156+J156</f>
        <v>2.3400000003083292</v>
      </c>
      <c r="N156" s="30">
        <v>36.324786320000001</v>
      </c>
    </row>
    <row r="157" spans="4:14" ht="12.75" customHeight="1" x14ac:dyDescent="0.15">
      <c r="D157" s="68"/>
      <c r="E157" s="65"/>
      <c r="F157" s="65">
        <v>2</v>
      </c>
      <c r="G157">
        <v>1</v>
      </c>
      <c r="H157" s="17">
        <f>59/N157*100</f>
        <v>561.34285717012244</v>
      </c>
      <c r="I157" s="17">
        <f>0.19/N157*100</f>
        <v>1.8077142858020891</v>
      </c>
      <c r="J157" s="17">
        <f>0.31/N157*100</f>
        <v>2.9494285715718296</v>
      </c>
      <c r="K157" s="14">
        <v>33</v>
      </c>
      <c r="L157" s="17">
        <v>24948.57143</v>
      </c>
      <c r="M157" s="17">
        <f>I157+J157</f>
        <v>4.7571428573739185</v>
      </c>
      <c r="N157" s="30">
        <v>10.51051051</v>
      </c>
    </row>
    <row r="158" spans="4:14" ht="12.75" customHeight="1" x14ac:dyDescent="0.15">
      <c r="D158" s="68"/>
      <c r="E158" s="65"/>
      <c r="F158" s="65"/>
      <c r="G158">
        <v>2</v>
      </c>
      <c r="H158" s="17">
        <f>60/N158*100</f>
        <v>604.16666665198204</v>
      </c>
      <c r="I158" s="17">
        <f>2.6/N158*100</f>
        <v>26.180555554919227</v>
      </c>
      <c r="J158" s="17">
        <f>2/N158*100</f>
        <v>20.138888888399403</v>
      </c>
      <c r="K158" s="14">
        <v>19</v>
      </c>
      <c r="L158" s="17">
        <v>26851.851849999999</v>
      </c>
      <c r="M158" s="60"/>
      <c r="N158" s="30">
        <v>9.9310344829999995</v>
      </c>
    </row>
    <row r="159" spans="4:14" ht="12.75" customHeight="1" x14ac:dyDescent="0.15">
      <c r="D159" s="68"/>
      <c r="E159" s="65"/>
      <c r="F159" s="65"/>
      <c r="G159">
        <v>3</v>
      </c>
      <c r="H159" s="14">
        <v>317</v>
      </c>
      <c r="I159" s="14">
        <v>1.54</v>
      </c>
      <c r="J159" s="14">
        <v>2.15</v>
      </c>
      <c r="K159" s="14">
        <v>17</v>
      </c>
      <c r="L159" s="14">
        <v>14088.88889</v>
      </c>
      <c r="M159" s="14">
        <v>5</v>
      </c>
      <c r="N159" s="24">
        <v>100</v>
      </c>
    </row>
    <row r="160" spans="4:14" ht="12.75" customHeight="1" x14ac:dyDescent="0.15">
      <c r="D160" s="68"/>
      <c r="E160" s="65"/>
      <c r="F160" s="65"/>
      <c r="G160">
        <v>4</v>
      </c>
      <c r="H160" s="14">
        <v>541</v>
      </c>
      <c r="I160" s="14">
        <v>1.55</v>
      </c>
      <c r="J160" s="14">
        <v>2.29</v>
      </c>
      <c r="K160" s="14">
        <v>29</v>
      </c>
      <c r="L160" s="14">
        <v>24044.444439999999</v>
      </c>
      <c r="M160" s="14">
        <v>6</v>
      </c>
      <c r="N160" s="24">
        <v>100</v>
      </c>
    </row>
    <row r="161" spans="4:14" ht="12.75" customHeight="1" x14ac:dyDescent="0.15">
      <c r="D161" s="68"/>
      <c r="E161" s="65"/>
      <c r="F161" s="65"/>
      <c r="G161">
        <v>5</v>
      </c>
      <c r="H161" s="17">
        <f>75/N161*100</f>
        <v>750</v>
      </c>
      <c r="I161" s="17">
        <f>0.26/N161*100</f>
        <v>2.6</v>
      </c>
      <c r="J161" s="17">
        <f>0.61/N161*100</f>
        <v>6.1</v>
      </c>
      <c r="K161" s="14">
        <v>25</v>
      </c>
      <c r="L161" s="17">
        <v>33333.333330000001</v>
      </c>
      <c r="M161" s="17">
        <f>I161+J161</f>
        <v>8.6999999999999993</v>
      </c>
      <c r="N161" s="30">
        <v>10</v>
      </c>
    </row>
    <row r="162" spans="4:14" ht="12.75" customHeight="1" x14ac:dyDescent="0.15">
      <c r="D162" s="68"/>
      <c r="E162" s="65"/>
      <c r="F162" s="65">
        <v>3</v>
      </c>
      <c r="G162">
        <v>1</v>
      </c>
      <c r="H162" s="47"/>
      <c r="I162" s="47"/>
      <c r="J162" s="47"/>
      <c r="K162" s="47"/>
      <c r="L162" s="48"/>
      <c r="M162" s="48"/>
      <c r="N162" s="52"/>
    </row>
    <row r="163" spans="4:14" ht="12.75" customHeight="1" x14ac:dyDescent="0.15">
      <c r="D163" s="68"/>
      <c r="E163" s="65"/>
      <c r="F163" s="65"/>
      <c r="G163">
        <v>2</v>
      </c>
      <c r="H163" s="17">
        <f>28/N163*100</f>
        <v>283.99999998782857</v>
      </c>
      <c r="I163" s="17">
        <f>0.22/N163*100</f>
        <v>2.2314285713329385</v>
      </c>
      <c r="J163" s="17">
        <f>0.5/N163*100</f>
        <v>5.0714285712112241</v>
      </c>
      <c r="K163" s="14">
        <v>25</v>
      </c>
      <c r="L163" s="17">
        <v>12622.22222</v>
      </c>
      <c r="M163" s="17">
        <f>I163+J163</f>
        <v>7.3028571425441626</v>
      </c>
      <c r="N163" s="30">
        <v>9.8591549300000008</v>
      </c>
    </row>
    <row r="164" spans="4:14" ht="12.75" customHeight="1" x14ac:dyDescent="0.15">
      <c r="D164" s="68"/>
      <c r="E164" s="65"/>
      <c r="F164" s="65"/>
      <c r="G164">
        <v>3</v>
      </c>
      <c r="H164" s="47"/>
      <c r="I164" s="47"/>
      <c r="J164" s="47"/>
      <c r="K164" s="47"/>
      <c r="L164" s="48"/>
      <c r="M164" s="48"/>
      <c r="N164" s="49"/>
    </row>
    <row r="165" spans="4:14" ht="12.75" customHeight="1" x14ac:dyDescent="0.15">
      <c r="D165" s="68"/>
      <c r="E165" s="65"/>
      <c r="F165" s="65"/>
      <c r="G165">
        <v>4</v>
      </c>
      <c r="H165" s="47"/>
      <c r="I165" s="47"/>
      <c r="J165" s="47"/>
      <c r="K165" s="47"/>
      <c r="L165" s="48"/>
      <c r="M165" s="48"/>
      <c r="N165" s="49"/>
    </row>
    <row r="166" spans="4:14" ht="12.75" customHeight="1" x14ac:dyDescent="0.15">
      <c r="D166" s="69"/>
      <c r="E166" s="66"/>
      <c r="F166" s="66"/>
      <c r="G166" s="19">
        <v>5</v>
      </c>
      <c r="H166" s="50"/>
      <c r="I166" s="50"/>
      <c r="J166" s="50"/>
      <c r="K166" s="50"/>
      <c r="L166" s="51"/>
      <c r="M166" s="51"/>
      <c r="N166" s="49"/>
    </row>
  </sheetData>
  <mergeCells count="49">
    <mergeCell ref="D152:D166"/>
    <mergeCell ref="E152:E166"/>
    <mergeCell ref="F152:F156"/>
    <mergeCell ref="F157:F161"/>
    <mergeCell ref="F162:F166"/>
    <mergeCell ref="F107:F111"/>
    <mergeCell ref="F112:F116"/>
    <mergeCell ref="F117:F121"/>
    <mergeCell ref="D122:D151"/>
    <mergeCell ref="E122:E136"/>
    <mergeCell ref="F122:F126"/>
    <mergeCell ref="F127:F131"/>
    <mergeCell ref="F132:F136"/>
    <mergeCell ref="E137:E151"/>
    <mergeCell ref="F137:F141"/>
    <mergeCell ref="F142:F146"/>
    <mergeCell ref="F147:F151"/>
    <mergeCell ref="F52:F56"/>
    <mergeCell ref="F57:F61"/>
    <mergeCell ref="D62:D121"/>
    <mergeCell ref="E62:E76"/>
    <mergeCell ref="F62:F66"/>
    <mergeCell ref="F67:F71"/>
    <mergeCell ref="F72:F76"/>
    <mergeCell ref="E77:E91"/>
    <mergeCell ref="F77:F81"/>
    <mergeCell ref="F82:F86"/>
    <mergeCell ref="F87:F91"/>
    <mergeCell ref="E92:E106"/>
    <mergeCell ref="F92:F96"/>
    <mergeCell ref="F97:F101"/>
    <mergeCell ref="F102:F106"/>
    <mergeCell ref="E107:E121"/>
    <mergeCell ref="A1:B1"/>
    <mergeCell ref="D2:D61"/>
    <mergeCell ref="E2:E16"/>
    <mergeCell ref="F2:F6"/>
    <mergeCell ref="F7:F11"/>
    <mergeCell ref="F12:F16"/>
    <mergeCell ref="E17:E31"/>
    <mergeCell ref="F17:F21"/>
    <mergeCell ref="F22:F26"/>
    <mergeCell ref="F27:F31"/>
    <mergeCell ref="E32:E46"/>
    <mergeCell ref="F32:F36"/>
    <mergeCell ref="F37:F41"/>
    <mergeCell ref="F42:F46"/>
    <mergeCell ref="E47:E61"/>
    <mergeCell ref="F47:F5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A8AD1-4B1D-4A4B-BA21-3D2F32BEB7D4}">
  <dimension ref="A1:AA131"/>
  <sheetViews>
    <sheetView tabSelected="1" topLeftCell="A41" zoomScale="75" workbookViewId="0">
      <selection activeCell="I90" sqref="I90"/>
    </sheetView>
  </sheetViews>
  <sheetFormatPr baseColWidth="10" defaultColWidth="11.5" defaultRowHeight="13" x14ac:dyDescent="0.15"/>
  <cols>
    <col min="2" max="2" width="18.1640625" customWidth="1"/>
    <col min="3" max="3" width="19.6640625" customWidth="1"/>
    <col min="4" max="4" width="15.1640625" customWidth="1"/>
    <col min="10" max="10" width="14.6640625" customWidth="1"/>
    <col min="16" max="16" width="13.33203125" customWidth="1"/>
    <col min="18" max="18" width="12.5" customWidth="1"/>
  </cols>
  <sheetData>
    <row r="1" spans="1:27" x14ac:dyDescent="0.15">
      <c r="B1" t="s">
        <v>43</v>
      </c>
      <c r="C1" t="s">
        <v>44</v>
      </c>
      <c r="D1" t="s">
        <v>42</v>
      </c>
      <c r="F1" s="8" t="s">
        <v>53</v>
      </c>
      <c r="G1" s="8" t="s">
        <v>54</v>
      </c>
      <c r="H1" s="8" t="s">
        <v>55</v>
      </c>
      <c r="I1" t="s">
        <v>56</v>
      </c>
      <c r="J1" s="8" t="s">
        <v>57</v>
      </c>
      <c r="K1" s="8"/>
      <c r="L1" s="8" t="s">
        <v>58</v>
      </c>
      <c r="M1" s="8" t="s">
        <v>54</v>
      </c>
      <c r="N1" s="8" t="s">
        <v>55</v>
      </c>
      <c r="O1" t="s">
        <v>56</v>
      </c>
      <c r="P1" s="8" t="s">
        <v>57</v>
      </c>
      <c r="R1" t="s">
        <v>59</v>
      </c>
      <c r="S1" s="8" t="s">
        <v>54</v>
      </c>
      <c r="T1" s="8" t="s">
        <v>55</v>
      </c>
      <c r="U1" t="s">
        <v>56</v>
      </c>
      <c r="V1" s="8" t="s">
        <v>57</v>
      </c>
      <c r="X1" s="8" t="s">
        <v>54</v>
      </c>
      <c r="Y1" s="8" t="s">
        <v>55</v>
      </c>
    </row>
    <row r="2" spans="1:27" x14ac:dyDescent="0.15">
      <c r="A2">
        <v>2</v>
      </c>
      <c r="B2" s="22">
        <v>15555.555560000001</v>
      </c>
      <c r="C2" s="22">
        <v>2.76</v>
      </c>
      <c r="D2" s="22">
        <v>18</v>
      </c>
      <c r="G2" s="63">
        <v>25</v>
      </c>
      <c r="H2" s="22">
        <v>18</v>
      </c>
      <c r="I2" s="14">
        <v>17</v>
      </c>
      <c r="J2" s="60">
        <v>60</v>
      </c>
      <c r="K2" s="22"/>
      <c r="L2" s="14"/>
      <c r="M2" s="22">
        <v>1.61</v>
      </c>
      <c r="N2" s="22">
        <v>2.76</v>
      </c>
      <c r="O2" s="14">
        <v>6.5238095238095237</v>
      </c>
      <c r="P2" s="14">
        <v>19.28</v>
      </c>
      <c r="S2" s="22">
        <v>8800</v>
      </c>
      <c r="T2" s="22">
        <v>15555.555560000001</v>
      </c>
      <c r="U2" s="14">
        <v>25822.22222</v>
      </c>
      <c r="V2" s="14">
        <v>50405.228759999998</v>
      </c>
      <c r="X2" s="22">
        <v>8800</v>
      </c>
      <c r="Y2" s="22">
        <v>15555.555560000001</v>
      </c>
      <c r="Z2">
        <f xml:space="preserve"> MEDIAN(S2:S32)</f>
        <v>3022.2222219999999</v>
      </c>
      <c r="AA2">
        <f>MEDIAN(T2:T45)</f>
        <v>9533.3333334999988</v>
      </c>
    </row>
    <row r="3" spans="1:27" x14ac:dyDescent="0.15">
      <c r="A3">
        <v>2</v>
      </c>
      <c r="B3" s="14">
        <v>14266.666670000001</v>
      </c>
      <c r="C3" s="14">
        <v>1.71</v>
      </c>
      <c r="D3" s="14">
        <v>10</v>
      </c>
      <c r="G3" s="14">
        <v>5</v>
      </c>
      <c r="H3" s="14">
        <v>10</v>
      </c>
      <c r="I3" s="14">
        <v>12</v>
      </c>
      <c r="J3" s="14">
        <v>12</v>
      </c>
      <c r="K3" s="14"/>
      <c r="L3" s="14"/>
      <c r="M3" s="14">
        <v>1.72</v>
      </c>
      <c r="N3" s="14">
        <v>1.71</v>
      </c>
      <c r="P3" s="14">
        <v>5.71</v>
      </c>
      <c r="S3" s="14">
        <v>2222.2222219999999</v>
      </c>
      <c r="T3" s="14">
        <v>14266.666670000001</v>
      </c>
      <c r="U3" s="14"/>
      <c r="V3" s="14">
        <v>64933.333330000001</v>
      </c>
      <c r="X3" s="14">
        <v>2222.2222219999999</v>
      </c>
      <c r="Y3" s="14">
        <v>14266.666670000001</v>
      </c>
      <c r="Z3">
        <f>_xlfn.QUARTILE.EXC(S2:S32, 3) - _xlfn.QUARTILE.EXC(S2:S32, 1)</f>
        <v>7556</v>
      </c>
      <c r="AA3">
        <f>_xlfn.QUARTILE.EXC(T2:T45, 3) - _xlfn.QUARTILE.EXC(T2:T45, 1)</f>
        <v>13366.666667750003</v>
      </c>
    </row>
    <row r="4" spans="1:27" x14ac:dyDescent="0.15">
      <c r="A4">
        <v>2</v>
      </c>
      <c r="B4" s="14">
        <v>19777.77778</v>
      </c>
      <c r="C4" s="14">
        <v>2.2200000000000002</v>
      </c>
      <c r="D4" s="14">
        <v>12</v>
      </c>
      <c r="G4" s="14">
        <v>2</v>
      </c>
      <c r="H4" s="14">
        <v>12</v>
      </c>
      <c r="I4" s="20">
        <v>45</v>
      </c>
      <c r="J4" s="14">
        <v>25</v>
      </c>
      <c r="K4" s="14"/>
      <c r="L4" s="14"/>
      <c r="M4" s="14">
        <v>0.32</v>
      </c>
      <c r="N4" s="14">
        <v>2.2200000000000002</v>
      </c>
      <c r="O4" s="20">
        <v>1.57</v>
      </c>
      <c r="P4" s="60">
        <v>13.75</v>
      </c>
      <c r="S4" s="14">
        <v>933.33333330000005</v>
      </c>
      <c r="T4" s="14">
        <v>19777.77778</v>
      </c>
      <c r="U4" s="20">
        <v>12400</v>
      </c>
      <c r="V4" s="14">
        <v>33858.85886</v>
      </c>
      <c r="X4" s="14">
        <v>933.33333330000005</v>
      </c>
      <c r="Y4" s="14">
        <v>19777.77778</v>
      </c>
    </row>
    <row r="5" spans="1:27" x14ac:dyDescent="0.15">
      <c r="A5">
        <v>2</v>
      </c>
      <c r="B5" s="14">
        <v>24088.888889999998</v>
      </c>
      <c r="C5" s="60">
        <v>6.66</v>
      </c>
      <c r="D5" s="14">
        <v>17</v>
      </c>
      <c r="G5" s="14">
        <v>2</v>
      </c>
      <c r="H5" s="14">
        <v>17</v>
      </c>
      <c r="I5" s="22">
        <v>2</v>
      </c>
      <c r="J5" s="14">
        <v>17</v>
      </c>
      <c r="K5" s="14"/>
      <c r="L5" s="14"/>
      <c r="M5" s="14">
        <v>0.36</v>
      </c>
      <c r="N5" s="14">
        <v>6.66</v>
      </c>
      <c r="O5" s="22">
        <v>0.71</v>
      </c>
      <c r="P5" s="14">
        <v>7.09</v>
      </c>
      <c r="S5" s="14">
        <v>1422.2222220000001</v>
      </c>
      <c r="T5" s="14">
        <v>24088.888889999998</v>
      </c>
      <c r="U5" s="22">
        <v>2711.1111110000002</v>
      </c>
      <c r="V5" s="14">
        <v>31511.111110000002</v>
      </c>
      <c r="X5" s="14">
        <v>1422.2222220000001</v>
      </c>
      <c r="Y5" s="14">
        <v>24088.888889999998</v>
      </c>
    </row>
    <row r="6" spans="1:27" x14ac:dyDescent="0.15">
      <c r="A6">
        <v>2</v>
      </c>
      <c r="B6" s="14">
        <v>21777.77778</v>
      </c>
      <c r="C6" s="14">
        <v>1.71</v>
      </c>
      <c r="D6" s="14">
        <v>15</v>
      </c>
      <c r="H6" s="14">
        <v>15</v>
      </c>
      <c r="I6" s="14">
        <v>15</v>
      </c>
      <c r="J6" s="14">
        <v>20</v>
      </c>
      <c r="K6" s="14"/>
      <c r="L6" s="14"/>
      <c r="M6" s="14">
        <v>1.63</v>
      </c>
      <c r="N6" s="14">
        <v>1.71</v>
      </c>
      <c r="O6" s="14">
        <v>1.1335714287090766</v>
      </c>
      <c r="P6" s="14">
        <v>7.95</v>
      </c>
      <c r="S6" s="14">
        <v>3555.5555559999998</v>
      </c>
      <c r="T6" s="14">
        <v>21777.77778</v>
      </c>
      <c r="U6" s="14">
        <v>3723.8095239999998</v>
      </c>
      <c r="V6" s="14">
        <v>46981.684979999998</v>
      </c>
      <c r="X6" s="14">
        <v>3555.5555559999998</v>
      </c>
      <c r="Y6" s="14">
        <v>21777.77778</v>
      </c>
    </row>
    <row r="7" spans="1:27" x14ac:dyDescent="0.15">
      <c r="A7">
        <v>2</v>
      </c>
      <c r="B7" s="14">
        <v>20444.444439999999</v>
      </c>
      <c r="C7" s="14">
        <v>3.56</v>
      </c>
      <c r="D7" s="14">
        <v>20</v>
      </c>
      <c r="G7" s="14">
        <v>17</v>
      </c>
      <c r="H7" s="14">
        <v>20</v>
      </c>
      <c r="I7" s="14">
        <v>9</v>
      </c>
      <c r="J7" s="14">
        <v>7</v>
      </c>
      <c r="K7" s="14"/>
      <c r="L7" s="14"/>
      <c r="M7" s="14">
        <v>1.76</v>
      </c>
      <c r="N7" s="14">
        <v>3.56</v>
      </c>
      <c r="O7" s="14">
        <v>2.3400000003083292</v>
      </c>
      <c r="P7" s="14">
        <v>3.73</v>
      </c>
      <c r="S7" s="14">
        <v>11244.444439999999</v>
      </c>
      <c r="T7" s="14">
        <v>20444.444439999999</v>
      </c>
      <c r="U7" s="14">
        <v>5872.9411760000003</v>
      </c>
      <c r="V7" s="14">
        <v>15824.24242</v>
      </c>
      <c r="X7" s="14">
        <v>11244.444439999999</v>
      </c>
      <c r="Y7" s="14">
        <v>20444.444439999999</v>
      </c>
    </row>
    <row r="8" spans="1:27" x14ac:dyDescent="0.15">
      <c r="A8">
        <v>2</v>
      </c>
      <c r="B8" s="14">
        <v>28844.444439999999</v>
      </c>
      <c r="C8" s="14">
        <v>5.67</v>
      </c>
      <c r="D8" s="14">
        <v>25</v>
      </c>
      <c r="G8" s="14">
        <v>2</v>
      </c>
      <c r="H8" s="14">
        <v>25</v>
      </c>
      <c r="I8" s="14">
        <v>33</v>
      </c>
      <c r="J8" s="14">
        <v>2</v>
      </c>
      <c r="K8" s="14"/>
      <c r="L8" s="14"/>
      <c r="M8" s="14">
        <v>0.31</v>
      </c>
      <c r="N8" s="14">
        <v>5.67</v>
      </c>
      <c r="O8" s="14">
        <v>4.7571428573739185</v>
      </c>
      <c r="P8" s="14">
        <v>0.73</v>
      </c>
      <c r="S8" s="14">
        <v>1066.666667</v>
      </c>
      <c r="T8" s="14">
        <v>28844.444439999999</v>
      </c>
      <c r="U8" s="14">
        <v>24948.57143</v>
      </c>
      <c r="V8" s="14">
        <v>16977.77778</v>
      </c>
      <c r="X8" s="14">
        <v>1066.666667</v>
      </c>
      <c r="Y8" s="14">
        <v>28844.444439999999</v>
      </c>
    </row>
    <row r="9" spans="1:27" x14ac:dyDescent="0.15">
      <c r="A9">
        <v>2</v>
      </c>
      <c r="B9" s="14">
        <v>41644.444439999999</v>
      </c>
      <c r="C9" s="14">
        <v>3.53</v>
      </c>
      <c r="D9" s="14">
        <v>18</v>
      </c>
      <c r="G9" s="14">
        <v>25</v>
      </c>
      <c r="H9" s="14">
        <v>18</v>
      </c>
      <c r="I9" s="14">
        <v>19</v>
      </c>
      <c r="J9" s="14">
        <v>17</v>
      </c>
      <c r="K9" s="14"/>
      <c r="L9" s="14"/>
      <c r="M9" s="14">
        <v>1.62</v>
      </c>
      <c r="N9" s="14">
        <v>3.53</v>
      </c>
      <c r="O9" s="60">
        <v>46.319444443318631</v>
      </c>
      <c r="P9" s="14">
        <v>6.68</v>
      </c>
      <c r="S9" s="14">
        <v>4044.4444440000002</v>
      </c>
      <c r="T9" s="60">
        <v>41644.444439999999</v>
      </c>
      <c r="U9" s="14">
        <v>26851.851849999999</v>
      </c>
      <c r="V9" s="14">
        <v>22266.666669999999</v>
      </c>
      <c r="X9" s="14">
        <v>4044.4444440000002</v>
      </c>
      <c r="Y9" s="60">
        <v>41644.444439999999</v>
      </c>
    </row>
    <row r="10" spans="1:27" x14ac:dyDescent="0.15">
      <c r="A10">
        <v>2</v>
      </c>
      <c r="B10" s="60">
        <v>37200</v>
      </c>
      <c r="C10" s="14">
        <v>2.5</v>
      </c>
      <c r="D10" s="14">
        <v>12</v>
      </c>
      <c r="G10" s="14">
        <v>2</v>
      </c>
      <c r="H10" s="14">
        <v>12</v>
      </c>
      <c r="I10" s="14">
        <v>17</v>
      </c>
      <c r="J10" s="14">
        <v>5</v>
      </c>
      <c r="K10" s="14"/>
      <c r="L10" s="14"/>
      <c r="M10" s="14">
        <v>0.24</v>
      </c>
      <c r="N10" s="14">
        <v>2.5</v>
      </c>
      <c r="O10" s="14">
        <v>5</v>
      </c>
      <c r="P10" s="14">
        <v>1.63</v>
      </c>
      <c r="S10" s="14">
        <v>533.33333330000005</v>
      </c>
      <c r="T10" s="14">
        <v>37200</v>
      </c>
      <c r="U10" s="14">
        <v>14088.88889</v>
      </c>
      <c r="V10" s="14">
        <v>8279.3650789999992</v>
      </c>
      <c r="X10" s="14">
        <v>533.33333330000005</v>
      </c>
      <c r="Y10" s="14">
        <v>37200</v>
      </c>
    </row>
    <row r="11" spans="1:27" x14ac:dyDescent="0.15">
      <c r="A11">
        <v>2</v>
      </c>
      <c r="B11" s="14">
        <v>26800</v>
      </c>
      <c r="C11" s="14">
        <v>1.92</v>
      </c>
      <c r="D11" s="14">
        <v>15</v>
      </c>
      <c r="G11" s="14">
        <v>2</v>
      </c>
      <c r="H11" s="14">
        <v>15</v>
      </c>
      <c r="I11" s="14">
        <v>29</v>
      </c>
      <c r="J11" s="14">
        <v>5</v>
      </c>
      <c r="K11" s="14"/>
      <c r="L11" s="14"/>
      <c r="M11" s="14">
        <v>0.09</v>
      </c>
      <c r="N11" s="14">
        <v>1.92</v>
      </c>
      <c r="O11" s="14">
        <v>6</v>
      </c>
      <c r="P11" s="14">
        <v>1.06</v>
      </c>
      <c r="S11" s="14">
        <v>888.88888889999998</v>
      </c>
      <c r="T11" s="14">
        <v>26800</v>
      </c>
      <c r="U11" s="14">
        <v>24044.444439999999</v>
      </c>
      <c r="V11" s="14">
        <v>17333.333330000001</v>
      </c>
      <c r="X11" s="14">
        <v>888.88888889999998</v>
      </c>
      <c r="Y11" s="14">
        <v>26800</v>
      </c>
    </row>
    <row r="12" spans="1:27" x14ac:dyDescent="0.15">
      <c r="A12">
        <v>2</v>
      </c>
      <c r="B12" s="14">
        <v>18711.111110000002</v>
      </c>
      <c r="C12" s="14">
        <v>5.14</v>
      </c>
      <c r="D12" s="14">
        <v>30</v>
      </c>
      <c r="G12" s="14">
        <v>2</v>
      </c>
      <c r="H12" s="14">
        <v>30</v>
      </c>
      <c r="I12" s="14">
        <v>25</v>
      </c>
      <c r="J12" s="14">
        <v>1</v>
      </c>
      <c r="K12" s="14"/>
      <c r="L12" s="14"/>
      <c r="M12" s="14">
        <v>0.11</v>
      </c>
      <c r="N12" s="14">
        <v>5.14</v>
      </c>
      <c r="O12" s="14">
        <v>8.6999999999999993</v>
      </c>
      <c r="P12" s="14">
        <v>0.08</v>
      </c>
      <c r="S12" s="14">
        <v>666.66666669999995</v>
      </c>
      <c r="T12" s="14">
        <v>18711.111110000002</v>
      </c>
      <c r="U12" s="14">
        <v>33333.333330000001</v>
      </c>
      <c r="V12" s="14">
        <v>1644.444444</v>
      </c>
      <c r="X12" s="14">
        <v>666.66666669999995</v>
      </c>
      <c r="Y12" s="14">
        <v>18711.111110000002</v>
      </c>
    </row>
    <row r="13" spans="1:27" x14ac:dyDescent="0.15">
      <c r="A13">
        <v>2</v>
      </c>
      <c r="B13" s="14">
        <v>2088.8888889999998</v>
      </c>
      <c r="C13" s="14">
        <v>0.56000000000000005</v>
      </c>
      <c r="D13" s="14">
        <v>7</v>
      </c>
      <c r="G13" s="22">
        <v>10</v>
      </c>
      <c r="H13" s="14">
        <v>7</v>
      </c>
      <c r="I13" s="14">
        <v>25</v>
      </c>
      <c r="J13" s="14">
        <v>17</v>
      </c>
      <c r="K13" s="14"/>
      <c r="L13" s="14"/>
      <c r="M13" s="22">
        <v>1.2</v>
      </c>
      <c r="N13" s="14">
        <v>0.56000000000000005</v>
      </c>
      <c r="O13" s="14">
        <v>7.3028571425441626</v>
      </c>
      <c r="P13" s="14">
        <v>6.8</v>
      </c>
      <c r="S13" s="22">
        <v>8311</v>
      </c>
      <c r="T13" s="14">
        <v>2088.8888889999998</v>
      </c>
      <c r="U13" s="14">
        <v>12622.22222</v>
      </c>
      <c r="V13" s="14">
        <v>52385.185189999997</v>
      </c>
      <c r="X13" s="22">
        <v>8311</v>
      </c>
      <c r="Y13" s="14">
        <v>2088.8888889999998</v>
      </c>
    </row>
    <row r="14" spans="1:27" x14ac:dyDescent="0.15">
      <c r="A14">
        <v>2</v>
      </c>
      <c r="B14" s="14">
        <v>11200</v>
      </c>
      <c r="C14" s="14">
        <v>4.87</v>
      </c>
      <c r="D14" s="14">
        <v>10</v>
      </c>
      <c r="G14" s="14">
        <v>5</v>
      </c>
      <c r="H14" s="14">
        <v>10</v>
      </c>
      <c r="J14" s="20">
        <v>12</v>
      </c>
      <c r="K14" s="14"/>
      <c r="L14" s="20"/>
      <c r="M14" s="14">
        <v>1.41</v>
      </c>
      <c r="N14" s="14">
        <v>4.87</v>
      </c>
      <c r="O14" s="14"/>
      <c r="P14" s="20">
        <v>5.5</v>
      </c>
      <c r="S14" s="14">
        <v>6444</v>
      </c>
      <c r="T14" s="14">
        <v>11200</v>
      </c>
      <c r="V14" s="20">
        <v>30344.827590000001</v>
      </c>
      <c r="X14" s="14">
        <v>6444</v>
      </c>
      <c r="Y14" s="14">
        <v>11200</v>
      </c>
    </row>
    <row r="15" spans="1:27" x14ac:dyDescent="0.15">
      <c r="A15">
        <v>2</v>
      </c>
      <c r="B15" s="14">
        <v>23022.22222</v>
      </c>
      <c r="C15" s="14">
        <v>4</v>
      </c>
      <c r="D15" s="14">
        <v>25</v>
      </c>
      <c r="G15" s="14">
        <v>3</v>
      </c>
      <c r="H15" s="14">
        <v>25</v>
      </c>
      <c r="J15" s="14">
        <v>25</v>
      </c>
      <c r="K15" s="14"/>
      <c r="M15" s="14">
        <v>0.8</v>
      </c>
      <c r="N15" s="14">
        <v>4</v>
      </c>
      <c r="O15" s="14"/>
      <c r="S15" s="14">
        <v>8978</v>
      </c>
      <c r="T15" s="14">
        <v>23022.22222</v>
      </c>
      <c r="X15" s="14">
        <v>8978</v>
      </c>
      <c r="Y15" s="14">
        <v>23022.22222</v>
      </c>
    </row>
    <row r="16" spans="1:27" x14ac:dyDescent="0.15">
      <c r="A16">
        <v>2</v>
      </c>
      <c r="B16" s="20">
        <v>12488.88889</v>
      </c>
      <c r="C16" s="61">
        <v>7.98</v>
      </c>
      <c r="D16" s="20">
        <v>30</v>
      </c>
      <c r="G16" s="14">
        <v>1</v>
      </c>
      <c r="H16" s="20">
        <v>30</v>
      </c>
      <c r="J16" s="14">
        <v>17</v>
      </c>
      <c r="K16" s="20"/>
      <c r="M16" s="14">
        <v>0.33</v>
      </c>
      <c r="N16" s="20">
        <v>7.98</v>
      </c>
      <c r="O16" s="20"/>
      <c r="S16" s="14">
        <v>1289</v>
      </c>
      <c r="T16" s="20">
        <v>12488.88889</v>
      </c>
      <c r="X16" s="14">
        <v>1289</v>
      </c>
      <c r="Y16" s="20">
        <v>12488.88889</v>
      </c>
    </row>
    <row r="17" spans="1:25" x14ac:dyDescent="0.15">
      <c r="A17">
        <v>3</v>
      </c>
      <c r="B17" s="14">
        <v>4311.1111110000002</v>
      </c>
      <c r="C17" s="14">
        <v>1.1599999999999999</v>
      </c>
      <c r="D17" s="14">
        <v>25</v>
      </c>
      <c r="G17" s="14">
        <v>1</v>
      </c>
      <c r="H17" s="14">
        <v>25</v>
      </c>
      <c r="J17" s="14">
        <v>38</v>
      </c>
      <c r="K17" s="14"/>
      <c r="L17" s="14"/>
      <c r="M17" s="14">
        <v>1.02</v>
      </c>
      <c r="N17" s="14">
        <v>1.1599999999999999</v>
      </c>
      <c r="O17" s="14"/>
      <c r="P17" s="14">
        <v>6.74</v>
      </c>
      <c r="S17" s="14">
        <v>1956</v>
      </c>
      <c r="T17" s="14">
        <v>4311.1111110000002</v>
      </c>
      <c r="V17" s="14">
        <v>28977.77778</v>
      </c>
      <c r="X17" s="14">
        <v>1956</v>
      </c>
      <c r="Y17" s="14">
        <v>4311.1111110000002</v>
      </c>
    </row>
    <row r="18" spans="1:25" x14ac:dyDescent="0.15">
      <c r="A18">
        <v>3</v>
      </c>
      <c r="B18" s="14">
        <v>3600</v>
      </c>
      <c r="C18" s="14">
        <v>0.99</v>
      </c>
      <c r="D18" s="14">
        <v>5</v>
      </c>
      <c r="G18" s="14">
        <v>1</v>
      </c>
      <c r="H18" s="14">
        <v>5</v>
      </c>
      <c r="J18" s="14">
        <v>17</v>
      </c>
      <c r="K18" s="14"/>
      <c r="M18" s="14">
        <v>0.69</v>
      </c>
      <c r="N18" s="14">
        <v>0.99</v>
      </c>
      <c r="O18" s="14"/>
      <c r="S18" s="14">
        <v>711</v>
      </c>
      <c r="T18" s="14">
        <v>3600</v>
      </c>
      <c r="V18" s="14"/>
      <c r="X18" s="14">
        <v>711</v>
      </c>
      <c r="Y18" s="14">
        <v>3600</v>
      </c>
    </row>
    <row r="19" spans="1:25" x14ac:dyDescent="0.15">
      <c r="A19">
        <v>3</v>
      </c>
      <c r="B19" s="14">
        <v>6800</v>
      </c>
      <c r="C19" s="14">
        <v>1.51</v>
      </c>
      <c r="D19" s="14">
        <v>10</v>
      </c>
      <c r="G19" s="14"/>
      <c r="H19" s="14">
        <v>10</v>
      </c>
      <c r="J19" s="14">
        <v>7</v>
      </c>
      <c r="K19" s="14"/>
      <c r="L19" s="14"/>
      <c r="M19" s="14"/>
      <c r="N19" s="14">
        <v>1.51</v>
      </c>
      <c r="O19" s="14"/>
      <c r="P19" s="14">
        <v>5.05</v>
      </c>
      <c r="S19" s="14">
        <v>1422</v>
      </c>
      <c r="T19" s="14">
        <v>6800</v>
      </c>
      <c r="V19" s="14">
        <v>31466.666669999999</v>
      </c>
      <c r="X19" s="14">
        <v>1422</v>
      </c>
      <c r="Y19" s="14">
        <v>6800</v>
      </c>
    </row>
    <row r="20" spans="1:25" x14ac:dyDescent="0.15">
      <c r="A20">
        <v>3</v>
      </c>
      <c r="B20" s="14">
        <v>2533.333333</v>
      </c>
      <c r="C20" s="14">
        <v>0.41</v>
      </c>
      <c r="D20" s="14">
        <v>30</v>
      </c>
      <c r="G20" s="14">
        <v>4</v>
      </c>
      <c r="H20" s="14">
        <v>30</v>
      </c>
      <c r="J20" s="14">
        <v>38</v>
      </c>
      <c r="K20" s="14"/>
      <c r="L20" s="14"/>
      <c r="M20" s="14">
        <v>7.0000000000000007E-2</v>
      </c>
      <c r="N20" s="14">
        <v>0.41</v>
      </c>
      <c r="O20" s="14"/>
      <c r="P20" s="14">
        <v>6.58</v>
      </c>
      <c r="S20" s="14">
        <v>2800</v>
      </c>
      <c r="T20" s="14">
        <v>2533.333333</v>
      </c>
      <c r="V20" s="14">
        <v>59600</v>
      </c>
      <c r="X20" s="14">
        <v>2800</v>
      </c>
      <c r="Y20" s="14">
        <v>2533.333333</v>
      </c>
    </row>
    <row r="21" spans="1:25" x14ac:dyDescent="0.15">
      <c r="A21">
        <v>3</v>
      </c>
      <c r="B21" s="14">
        <v>12844.444439999999</v>
      </c>
      <c r="C21" s="14">
        <v>1.64</v>
      </c>
      <c r="D21" s="14">
        <v>40</v>
      </c>
      <c r="G21" s="14">
        <v>6</v>
      </c>
      <c r="H21" s="14">
        <v>40</v>
      </c>
      <c r="J21" s="14">
        <v>17</v>
      </c>
      <c r="K21" s="14"/>
      <c r="M21" s="14">
        <v>0.48</v>
      </c>
      <c r="N21" s="14">
        <v>1.64</v>
      </c>
      <c r="O21" s="14"/>
      <c r="S21" s="14">
        <v>1956</v>
      </c>
      <c r="T21" s="14">
        <v>12844.444439999999</v>
      </c>
      <c r="V21" s="14"/>
      <c r="X21" s="14">
        <v>1956</v>
      </c>
      <c r="Y21" s="14">
        <v>12844.444439999999</v>
      </c>
    </row>
    <row r="22" spans="1:25" x14ac:dyDescent="0.15">
      <c r="A22">
        <v>3</v>
      </c>
      <c r="B22" s="14">
        <v>13288.88889</v>
      </c>
      <c r="C22" s="60">
        <v>8.61</v>
      </c>
      <c r="D22" s="60">
        <v>70</v>
      </c>
      <c r="G22" s="20"/>
      <c r="H22" s="60">
        <v>70</v>
      </c>
      <c r="J22" s="14">
        <v>25</v>
      </c>
      <c r="K22" s="14"/>
      <c r="L22" s="14"/>
      <c r="M22" s="20">
        <v>0.61</v>
      </c>
      <c r="N22" s="60">
        <v>8.61</v>
      </c>
      <c r="O22" s="14"/>
      <c r="P22" s="14">
        <v>8.1</v>
      </c>
      <c r="S22" s="20">
        <v>2311</v>
      </c>
      <c r="T22" s="14">
        <v>13288.88889</v>
      </c>
      <c r="V22" s="14">
        <v>43466.666669999999</v>
      </c>
      <c r="X22" s="20">
        <v>2311</v>
      </c>
      <c r="Y22" s="14">
        <v>13288.88889</v>
      </c>
    </row>
    <row r="23" spans="1:25" x14ac:dyDescent="0.15">
      <c r="A23">
        <v>3</v>
      </c>
      <c r="B23" s="14">
        <v>9244.4444440000007</v>
      </c>
      <c r="C23" s="14">
        <v>4.4400000000000004</v>
      </c>
      <c r="D23" s="14">
        <v>25</v>
      </c>
      <c r="G23" s="14">
        <v>5</v>
      </c>
      <c r="H23" s="14">
        <v>25</v>
      </c>
      <c r="J23" s="14">
        <v>17</v>
      </c>
      <c r="K23" s="14"/>
      <c r="M23" s="14">
        <v>0.54</v>
      </c>
      <c r="N23" s="14">
        <v>4.4400000000000004</v>
      </c>
      <c r="O23" s="14"/>
      <c r="S23" s="14">
        <v>3022.2222219999999</v>
      </c>
      <c r="T23" s="14">
        <v>9244.4444440000007</v>
      </c>
      <c r="V23" s="14"/>
      <c r="X23" s="14">
        <v>3022.2222219999999</v>
      </c>
      <c r="Y23" s="14">
        <v>9244.4444440000007</v>
      </c>
    </row>
    <row r="24" spans="1:25" x14ac:dyDescent="0.15">
      <c r="A24">
        <v>3</v>
      </c>
      <c r="B24" s="14">
        <v>7644.4444439999997</v>
      </c>
      <c r="C24" s="14">
        <v>6.01</v>
      </c>
      <c r="D24" s="14">
        <v>25</v>
      </c>
      <c r="G24" s="14">
        <v>5</v>
      </c>
      <c r="H24" s="14">
        <v>25</v>
      </c>
      <c r="J24" s="14">
        <v>25</v>
      </c>
      <c r="K24" s="14"/>
      <c r="M24" s="14">
        <v>0.45</v>
      </c>
      <c r="N24" s="14">
        <v>6.01</v>
      </c>
      <c r="O24" s="14"/>
      <c r="S24" s="14">
        <v>1733.333333</v>
      </c>
      <c r="T24" s="14">
        <v>7644.4444439999997</v>
      </c>
      <c r="V24" s="14"/>
      <c r="X24" s="14">
        <v>1733.333333</v>
      </c>
      <c r="Y24" s="14">
        <v>7644.4444439999997</v>
      </c>
    </row>
    <row r="25" spans="1:25" x14ac:dyDescent="0.15">
      <c r="A25">
        <v>3</v>
      </c>
      <c r="B25" s="14">
        <v>6800</v>
      </c>
      <c r="C25" s="14">
        <v>2.1</v>
      </c>
      <c r="D25" s="14">
        <v>15</v>
      </c>
      <c r="G25" s="14">
        <v>17</v>
      </c>
      <c r="H25" s="14">
        <v>15</v>
      </c>
      <c r="J25" s="14">
        <v>17</v>
      </c>
      <c r="K25" s="14"/>
      <c r="M25" s="14">
        <v>2.1</v>
      </c>
      <c r="N25" s="14">
        <v>2.1</v>
      </c>
      <c r="O25" s="14"/>
      <c r="S25" s="60">
        <v>41111.111109999998</v>
      </c>
      <c r="T25" s="14">
        <v>6800</v>
      </c>
      <c r="V25" s="14"/>
      <c r="X25" s="60"/>
      <c r="Y25" s="14">
        <v>6800</v>
      </c>
    </row>
    <row r="26" spans="1:25" x14ac:dyDescent="0.15">
      <c r="A26">
        <v>3</v>
      </c>
      <c r="B26" s="14">
        <v>8844.4444440000007</v>
      </c>
      <c r="C26" s="14">
        <v>2.78</v>
      </c>
      <c r="D26" s="14">
        <v>25</v>
      </c>
      <c r="G26" s="14">
        <v>7</v>
      </c>
      <c r="H26" s="14">
        <v>25</v>
      </c>
      <c r="J26" s="14">
        <v>25</v>
      </c>
      <c r="K26" s="14"/>
      <c r="M26" s="14">
        <v>0.47</v>
      </c>
      <c r="N26" s="14">
        <v>2.78</v>
      </c>
      <c r="O26" s="14"/>
      <c r="S26" s="14">
        <v>3777.7777780000001</v>
      </c>
      <c r="T26" s="14">
        <v>8844.4444440000007</v>
      </c>
      <c r="V26" s="14"/>
      <c r="X26" s="14">
        <v>3777.7777780000001</v>
      </c>
      <c r="Y26" s="14">
        <v>8844.4444440000007</v>
      </c>
    </row>
    <row r="27" spans="1:25" x14ac:dyDescent="0.15">
      <c r="A27">
        <v>3</v>
      </c>
      <c r="B27" s="14">
        <v>3911.1111110000002</v>
      </c>
      <c r="C27" s="14">
        <v>5.14</v>
      </c>
      <c r="D27" s="14">
        <v>35</v>
      </c>
      <c r="G27" s="14">
        <v>5</v>
      </c>
      <c r="H27" s="14">
        <v>35</v>
      </c>
      <c r="J27" s="14">
        <v>17</v>
      </c>
      <c r="K27" s="14"/>
      <c r="L27" s="14"/>
      <c r="M27" s="14">
        <v>3.1</v>
      </c>
      <c r="N27" s="14">
        <v>5.14</v>
      </c>
      <c r="O27" s="14"/>
      <c r="P27" s="14">
        <v>6.5238095238095237</v>
      </c>
      <c r="S27" s="60">
        <v>80000</v>
      </c>
      <c r="T27" s="14">
        <v>3911.1111110000002</v>
      </c>
      <c r="V27" s="14">
        <v>25822.22222</v>
      </c>
      <c r="X27" s="60"/>
      <c r="Y27" s="14">
        <v>3911.1111110000002</v>
      </c>
    </row>
    <row r="28" spans="1:25" x14ac:dyDescent="0.15">
      <c r="A28">
        <v>3</v>
      </c>
      <c r="B28" s="14">
        <v>1111.1111109999999</v>
      </c>
      <c r="C28" s="14">
        <v>0.49</v>
      </c>
      <c r="D28" s="14">
        <v>3</v>
      </c>
      <c r="G28" s="14">
        <v>5</v>
      </c>
      <c r="H28" s="14">
        <v>3</v>
      </c>
      <c r="J28" s="14">
        <v>12</v>
      </c>
      <c r="K28" s="14"/>
      <c r="M28" s="14">
        <v>2.1295161290000002</v>
      </c>
      <c r="N28" s="14">
        <v>0.49</v>
      </c>
      <c r="O28" s="14"/>
      <c r="S28" s="14">
        <v>17279.526539999999</v>
      </c>
      <c r="T28" s="14">
        <v>1111.1111109999999</v>
      </c>
      <c r="V28" s="14"/>
      <c r="X28" s="14">
        <v>17279.526539999999</v>
      </c>
      <c r="Y28" s="14">
        <v>1111.1111109999999</v>
      </c>
    </row>
    <row r="29" spans="1:25" x14ac:dyDescent="0.15">
      <c r="A29">
        <v>3</v>
      </c>
      <c r="B29" s="14">
        <v>2444.4444440000002</v>
      </c>
      <c r="C29" s="14">
        <v>0.33</v>
      </c>
      <c r="D29" s="14">
        <v>20</v>
      </c>
      <c r="G29" s="14">
        <v>25</v>
      </c>
      <c r="H29" s="14">
        <v>20</v>
      </c>
      <c r="J29" s="20">
        <v>45</v>
      </c>
      <c r="K29" s="14"/>
      <c r="L29" s="20"/>
      <c r="M29" s="14">
        <v>1.97</v>
      </c>
      <c r="N29" s="14">
        <v>0.33</v>
      </c>
      <c r="O29" s="14"/>
      <c r="P29" s="20">
        <v>1.57</v>
      </c>
      <c r="S29" s="14">
        <v>7288.8888889999998</v>
      </c>
      <c r="T29" s="14">
        <v>2444.4444440000002</v>
      </c>
      <c r="V29" s="20">
        <v>12400</v>
      </c>
      <c r="X29" s="14">
        <v>7288.8888889999998</v>
      </c>
      <c r="Y29" s="14">
        <v>2444.4444440000002</v>
      </c>
    </row>
    <row r="30" spans="1:25" x14ac:dyDescent="0.15">
      <c r="A30">
        <v>3</v>
      </c>
      <c r="B30" s="20">
        <v>7733.3333329999996</v>
      </c>
      <c r="C30" s="20">
        <v>1.1100000000000001</v>
      </c>
      <c r="D30" s="20">
        <v>45</v>
      </c>
      <c r="G30" s="14">
        <v>5</v>
      </c>
      <c r="H30" s="20">
        <v>45</v>
      </c>
      <c r="J30" s="14">
        <v>25</v>
      </c>
      <c r="K30" s="20"/>
      <c r="L30" s="22"/>
      <c r="M30" s="14">
        <v>3.813894737</v>
      </c>
      <c r="N30" s="20">
        <v>1.1100000000000001</v>
      </c>
      <c r="O30" s="20"/>
      <c r="S30" s="14">
        <v>17007.198520000002</v>
      </c>
      <c r="T30" s="20">
        <v>7733.3333329999996</v>
      </c>
      <c r="X30" s="14">
        <v>17007.198520000002</v>
      </c>
      <c r="Y30" s="20">
        <v>7733.3333329999996</v>
      </c>
    </row>
    <row r="31" spans="1:25" x14ac:dyDescent="0.15">
      <c r="A31">
        <v>7</v>
      </c>
      <c r="B31" s="22">
        <v>5777.7777779999997</v>
      </c>
      <c r="C31" s="22">
        <v>0.54</v>
      </c>
      <c r="D31" s="22">
        <v>7</v>
      </c>
      <c r="G31" s="14">
        <v>17</v>
      </c>
      <c r="H31" s="22">
        <v>7</v>
      </c>
      <c r="J31" s="14">
        <v>22</v>
      </c>
      <c r="K31" s="22"/>
      <c r="L31" s="14"/>
      <c r="M31" s="14">
        <v>2.491404255</v>
      </c>
      <c r="N31" s="22">
        <v>0.54</v>
      </c>
      <c r="O31" s="22"/>
      <c r="P31">
        <v>5.54</v>
      </c>
      <c r="S31" s="14">
        <v>10076.02274</v>
      </c>
      <c r="T31" s="22">
        <v>5777.7777779999997</v>
      </c>
      <c r="V31" s="14">
        <v>29777.77778</v>
      </c>
      <c r="X31" s="14">
        <v>10076.02274</v>
      </c>
      <c r="Y31" s="22">
        <v>5777.7777779999997</v>
      </c>
    </row>
    <row r="32" spans="1:25" x14ac:dyDescent="0.15">
      <c r="A32">
        <v>7</v>
      </c>
      <c r="B32" s="14">
        <v>15377.77778</v>
      </c>
      <c r="C32" s="14">
        <v>2.5299999999999998</v>
      </c>
      <c r="D32" s="14">
        <v>38</v>
      </c>
      <c r="G32" s="14">
        <v>5</v>
      </c>
      <c r="H32" s="14">
        <v>38</v>
      </c>
      <c r="J32" s="14">
        <v>45</v>
      </c>
      <c r="K32" s="14"/>
      <c r="L32" s="14"/>
      <c r="M32" s="14">
        <v>2.5630967739999999</v>
      </c>
      <c r="N32" s="14">
        <v>2.5299999999999998</v>
      </c>
      <c r="O32" s="14"/>
      <c r="P32" s="62">
        <v>18.170000000000002</v>
      </c>
      <c r="S32" s="14">
        <v>19706.235629999999</v>
      </c>
      <c r="T32" s="14">
        <v>15377.77778</v>
      </c>
      <c r="V32" s="14">
        <v>69752.484190000003</v>
      </c>
      <c r="X32" s="14">
        <v>19706.235629999999</v>
      </c>
      <c r="Y32" s="14">
        <v>15377.77778</v>
      </c>
    </row>
    <row r="33" spans="1:25" x14ac:dyDescent="0.15">
      <c r="A33">
        <v>7</v>
      </c>
      <c r="B33" s="14">
        <v>22222.22222</v>
      </c>
      <c r="C33" s="14">
        <v>2.6</v>
      </c>
      <c r="D33" s="14">
        <v>30</v>
      </c>
      <c r="G33" s="14"/>
      <c r="H33" s="14">
        <v>30</v>
      </c>
      <c r="J33" s="14">
        <v>40</v>
      </c>
      <c r="K33" s="14"/>
      <c r="L33" s="14"/>
      <c r="N33" s="14">
        <v>2.6</v>
      </c>
      <c r="O33" s="14"/>
      <c r="T33" s="14">
        <v>22222.22222</v>
      </c>
      <c r="Y33" s="14">
        <v>22222.22222</v>
      </c>
    </row>
    <row r="34" spans="1:25" x14ac:dyDescent="0.15">
      <c r="A34">
        <v>7</v>
      </c>
      <c r="B34" s="14">
        <v>6711.1111110000002</v>
      </c>
      <c r="C34" s="14">
        <v>0.98</v>
      </c>
      <c r="D34" s="14">
        <v>7</v>
      </c>
      <c r="G34" s="14"/>
      <c r="H34" s="14">
        <v>7</v>
      </c>
      <c r="J34" s="14">
        <v>10</v>
      </c>
      <c r="K34" s="14"/>
      <c r="L34" s="14"/>
      <c r="N34" s="14">
        <v>0.98</v>
      </c>
      <c r="O34" s="14"/>
      <c r="P34">
        <v>8.7100000000000009</v>
      </c>
      <c r="T34" s="14">
        <v>6711.1111110000002</v>
      </c>
      <c r="V34" s="14">
        <v>15147.82609</v>
      </c>
      <c r="Y34" s="14">
        <v>6711.1111110000002</v>
      </c>
    </row>
    <row r="35" spans="1:25" x14ac:dyDescent="0.15">
      <c r="A35">
        <v>7</v>
      </c>
      <c r="B35" s="14">
        <v>29333.333330000001</v>
      </c>
      <c r="C35" s="14">
        <v>5.4</v>
      </c>
      <c r="D35" s="14">
        <v>7</v>
      </c>
      <c r="G35" s="14"/>
      <c r="H35" s="14">
        <v>7</v>
      </c>
      <c r="J35" s="14">
        <v>15</v>
      </c>
      <c r="K35" s="14"/>
      <c r="L35" s="14"/>
      <c r="N35" s="14">
        <v>5.4</v>
      </c>
      <c r="O35" s="14"/>
      <c r="P35">
        <v>5.27</v>
      </c>
      <c r="T35" s="14">
        <v>29333.333330000001</v>
      </c>
      <c r="V35" s="14">
        <v>28825.599999999999</v>
      </c>
      <c r="Y35" s="14">
        <v>29333.333330000001</v>
      </c>
    </row>
    <row r="36" spans="1:25" x14ac:dyDescent="0.15">
      <c r="A36">
        <v>7</v>
      </c>
      <c r="B36" s="14">
        <v>13333.333329999999</v>
      </c>
      <c r="C36" s="14">
        <v>3.2</v>
      </c>
      <c r="D36" s="14">
        <v>38</v>
      </c>
      <c r="G36" s="14"/>
      <c r="H36" s="14">
        <v>38</v>
      </c>
      <c r="J36" s="14">
        <v>15</v>
      </c>
      <c r="K36" s="14"/>
      <c r="L36" s="14"/>
      <c r="N36" s="14">
        <v>3.2</v>
      </c>
      <c r="O36" s="14"/>
      <c r="T36" s="14">
        <v>13333.333329999999</v>
      </c>
      <c r="Y36" s="14">
        <v>13333.333329999999</v>
      </c>
    </row>
    <row r="37" spans="1:25" x14ac:dyDescent="0.15">
      <c r="A37">
        <v>7</v>
      </c>
      <c r="B37" s="14">
        <v>7777.7777779999997</v>
      </c>
      <c r="C37" s="14">
        <v>0.69</v>
      </c>
      <c r="D37" s="14">
        <v>5</v>
      </c>
      <c r="G37" s="14"/>
      <c r="H37" s="14">
        <v>5</v>
      </c>
      <c r="J37" s="14">
        <v>22</v>
      </c>
      <c r="K37" s="14"/>
      <c r="L37" s="14"/>
      <c r="N37" s="14">
        <v>0.69</v>
      </c>
      <c r="O37" s="14"/>
      <c r="P37">
        <v>4.95</v>
      </c>
      <c r="T37" s="14">
        <v>7777.7777779999997</v>
      </c>
      <c r="V37" s="14">
        <v>13600</v>
      </c>
      <c r="Y37" s="14">
        <v>7777.7777779999997</v>
      </c>
    </row>
    <row r="38" spans="1:25" x14ac:dyDescent="0.15">
      <c r="A38">
        <v>7</v>
      </c>
      <c r="B38" s="14">
        <v>5955.5555560000003</v>
      </c>
      <c r="C38" s="14">
        <v>0.72</v>
      </c>
      <c r="D38" s="14">
        <v>25</v>
      </c>
      <c r="G38" s="14"/>
      <c r="H38" s="14">
        <v>25</v>
      </c>
      <c r="J38" s="14">
        <v>30</v>
      </c>
      <c r="K38" s="14"/>
      <c r="L38" s="14"/>
      <c r="N38" s="14">
        <v>0.72</v>
      </c>
      <c r="O38" s="14"/>
      <c r="P38">
        <v>7.58</v>
      </c>
      <c r="T38" s="14">
        <v>5955.5555560000003</v>
      </c>
      <c r="V38" s="14">
        <v>26757.26496</v>
      </c>
      <c r="Y38" s="14">
        <v>5955.5555560000003</v>
      </c>
    </row>
    <row r="39" spans="1:25" x14ac:dyDescent="0.15">
      <c r="A39">
        <v>7</v>
      </c>
      <c r="B39" s="14">
        <v>14488.88889</v>
      </c>
      <c r="C39" s="14">
        <v>1.08</v>
      </c>
      <c r="D39" s="14">
        <v>17</v>
      </c>
      <c r="G39" s="14"/>
      <c r="H39" s="14">
        <v>17</v>
      </c>
      <c r="J39" s="14">
        <v>25</v>
      </c>
      <c r="K39" s="14"/>
      <c r="N39" s="14">
        <v>1.08</v>
      </c>
      <c r="O39" s="14"/>
      <c r="P39" s="62">
        <v>15.55</v>
      </c>
      <c r="T39" s="14">
        <v>14488.88889</v>
      </c>
      <c r="V39" s="14">
        <v>29067.29264</v>
      </c>
      <c r="Y39" s="14">
        <v>14488.88889</v>
      </c>
    </row>
    <row r="40" spans="1:25" x14ac:dyDescent="0.15">
      <c r="A40">
        <v>7</v>
      </c>
      <c r="B40" s="14">
        <v>9600</v>
      </c>
      <c r="C40" s="14">
        <v>1.04</v>
      </c>
      <c r="D40" s="14">
        <v>25</v>
      </c>
      <c r="G40" s="14"/>
      <c r="H40" s="14">
        <v>25</v>
      </c>
      <c r="J40" s="14">
        <v>5</v>
      </c>
      <c r="K40" s="14"/>
      <c r="N40" s="14">
        <v>1.04</v>
      </c>
      <c r="O40" s="14"/>
      <c r="T40" s="14">
        <v>9600</v>
      </c>
      <c r="Y40" s="14">
        <v>9600</v>
      </c>
    </row>
    <row r="41" spans="1:25" x14ac:dyDescent="0.15">
      <c r="A41">
        <v>7</v>
      </c>
      <c r="B41" s="14">
        <v>9155.5555559999993</v>
      </c>
      <c r="C41" s="14">
        <v>0.74</v>
      </c>
      <c r="D41" s="14">
        <v>3</v>
      </c>
      <c r="G41" s="14"/>
      <c r="H41" s="14">
        <v>3</v>
      </c>
      <c r="J41" s="14">
        <v>22</v>
      </c>
      <c r="K41" s="14"/>
      <c r="N41" s="14">
        <v>0.74</v>
      </c>
      <c r="O41" s="14"/>
      <c r="T41" s="14">
        <v>9155.5555559999993</v>
      </c>
      <c r="Y41" s="14">
        <v>9155.5555559999993</v>
      </c>
    </row>
    <row r="42" spans="1:25" x14ac:dyDescent="0.15">
      <c r="A42">
        <v>7</v>
      </c>
      <c r="B42" s="14">
        <v>3600</v>
      </c>
      <c r="C42" s="14">
        <v>3.21</v>
      </c>
      <c r="D42" s="14">
        <v>5</v>
      </c>
      <c r="G42" s="14"/>
      <c r="H42" s="14">
        <v>5</v>
      </c>
      <c r="J42" s="14">
        <v>6</v>
      </c>
      <c r="K42" s="14"/>
      <c r="N42" s="14">
        <v>3.21</v>
      </c>
      <c r="O42" s="14"/>
      <c r="T42" s="14">
        <v>3600</v>
      </c>
      <c r="Y42" s="14">
        <v>3600</v>
      </c>
    </row>
    <row r="43" spans="1:25" x14ac:dyDescent="0.15">
      <c r="A43">
        <v>7</v>
      </c>
      <c r="B43" s="14">
        <v>9466.6666669999995</v>
      </c>
      <c r="C43" s="14">
        <v>0.43</v>
      </c>
      <c r="D43" s="14">
        <v>17</v>
      </c>
      <c r="G43" s="14"/>
      <c r="H43" s="14">
        <v>17</v>
      </c>
      <c r="J43" s="14">
        <v>5</v>
      </c>
      <c r="K43" s="14"/>
      <c r="N43" s="14">
        <v>0.43</v>
      </c>
      <c r="O43" s="14"/>
      <c r="T43" s="14">
        <v>9466.6666669999995</v>
      </c>
      <c r="Y43" s="14">
        <v>9466.6666669999995</v>
      </c>
    </row>
    <row r="44" spans="1:25" x14ac:dyDescent="0.15">
      <c r="A44">
        <v>7</v>
      </c>
      <c r="B44" s="14">
        <v>2755.5555559999998</v>
      </c>
      <c r="C44" s="14">
        <v>0.54</v>
      </c>
      <c r="D44" s="14">
        <v>2</v>
      </c>
      <c r="G44" s="14"/>
      <c r="H44" s="14">
        <v>2</v>
      </c>
      <c r="J44" s="20">
        <v>7</v>
      </c>
      <c r="K44" s="14"/>
      <c r="N44" s="14">
        <v>0.54</v>
      </c>
      <c r="O44" s="14"/>
      <c r="P44">
        <v>2.62</v>
      </c>
      <c r="T44" s="14">
        <v>2755.5555559999998</v>
      </c>
      <c r="V44" s="19">
        <v>15200</v>
      </c>
      <c r="Y44" s="14">
        <v>2755.5555559999998</v>
      </c>
    </row>
    <row r="45" spans="1:25" x14ac:dyDescent="0.15">
      <c r="A45">
        <v>7</v>
      </c>
      <c r="B45" s="20">
        <v>7244.4444439999997</v>
      </c>
      <c r="C45" s="20">
        <v>1.1200000000000001</v>
      </c>
      <c r="D45" s="20">
        <v>1</v>
      </c>
      <c r="G45" s="20"/>
      <c r="H45" s="20">
        <v>1</v>
      </c>
      <c r="K45" s="20"/>
      <c r="N45" s="20">
        <v>1.1200000000000001</v>
      </c>
      <c r="O45" s="20"/>
      <c r="T45" s="20">
        <v>7244.4444439999997</v>
      </c>
      <c r="Y45" s="20">
        <v>7244.4444439999997</v>
      </c>
    </row>
    <row r="46" spans="1:25" x14ac:dyDescent="0.15">
      <c r="A46">
        <v>4</v>
      </c>
      <c r="B46" s="22">
        <v>8800</v>
      </c>
      <c r="C46" s="22">
        <v>1.61</v>
      </c>
      <c r="D46" s="22">
        <v>25</v>
      </c>
      <c r="G46" s="22"/>
      <c r="H46" s="14"/>
      <c r="K46" s="22"/>
      <c r="O46" s="22"/>
      <c r="P46" s="14"/>
    </row>
    <row r="47" spans="1:25" x14ac:dyDescent="0.15">
      <c r="A47">
        <v>4</v>
      </c>
      <c r="B47" s="14">
        <v>2222.2222219999999</v>
      </c>
      <c r="C47" s="14">
        <v>1.72</v>
      </c>
      <c r="D47" s="14">
        <v>5</v>
      </c>
      <c r="G47" s="14"/>
      <c r="H47" s="14"/>
      <c r="K47" s="14"/>
      <c r="O47" s="14"/>
      <c r="P47" s="14"/>
    </row>
    <row r="48" spans="1:25" x14ac:dyDescent="0.15">
      <c r="A48">
        <v>4</v>
      </c>
      <c r="B48" s="14">
        <v>933.33333330000005</v>
      </c>
      <c r="C48" s="14">
        <v>0.32</v>
      </c>
      <c r="D48" s="14">
        <v>2</v>
      </c>
      <c r="G48" s="79"/>
      <c r="H48" s="79"/>
      <c r="I48" s="80"/>
      <c r="J48" s="80"/>
      <c r="K48" s="79"/>
      <c r="L48" s="80"/>
      <c r="M48" s="80"/>
      <c r="N48" s="80"/>
      <c r="O48" s="79"/>
      <c r="P48" s="79"/>
      <c r="Q48" s="80"/>
      <c r="R48" s="80"/>
    </row>
    <row r="49" spans="1:18" x14ac:dyDescent="0.15">
      <c r="A49">
        <v>4</v>
      </c>
      <c r="B49" s="14">
        <v>1422.2222220000001</v>
      </c>
      <c r="C49" s="14">
        <v>0.36</v>
      </c>
      <c r="D49" s="14">
        <v>2</v>
      </c>
      <c r="G49" s="79"/>
      <c r="H49" s="79"/>
      <c r="I49" s="80"/>
      <c r="J49" s="80"/>
      <c r="K49" s="79"/>
      <c r="L49" s="80"/>
      <c r="M49" s="80"/>
      <c r="N49" s="80"/>
      <c r="O49" s="79"/>
      <c r="P49" s="80"/>
      <c r="Q49" s="80"/>
      <c r="R49" s="80"/>
    </row>
    <row r="50" spans="1:18" x14ac:dyDescent="0.15">
      <c r="A50">
        <v>4</v>
      </c>
      <c r="B50" s="14">
        <v>3555.5555559999998</v>
      </c>
      <c r="C50" s="14">
        <v>1.63</v>
      </c>
      <c r="G50" s="80"/>
      <c r="H50" s="79"/>
      <c r="I50" s="80"/>
      <c r="J50" s="80"/>
      <c r="K50" s="79"/>
      <c r="L50" s="80"/>
      <c r="M50" s="80"/>
      <c r="N50" s="80"/>
      <c r="O50" s="79"/>
      <c r="P50" s="80"/>
      <c r="Q50" s="80"/>
      <c r="R50" s="80"/>
    </row>
    <row r="51" spans="1:18" x14ac:dyDescent="0.15">
      <c r="A51">
        <v>4</v>
      </c>
      <c r="B51" s="14">
        <v>11244.444439999999</v>
      </c>
      <c r="C51" s="14">
        <v>1.76</v>
      </c>
      <c r="D51" s="14">
        <v>17</v>
      </c>
      <c r="G51" s="79"/>
      <c r="H51" s="79"/>
      <c r="I51" s="80"/>
      <c r="J51" s="80"/>
      <c r="K51" s="79"/>
      <c r="L51" s="80"/>
      <c r="M51" s="80"/>
      <c r="N51" s="80"/>
      <c r="O51" s="79"/>
      <c r="P51" s="80"/>
      <c r="Q51" s="80"/>
      <c r="R51" s="80"/>
    </row>
    <row r="52" spans="1:18" x14ac:dyDescent="0.15">
      <c r="A52">
        <v>4</v>
      </c>
      <c r="B52" s="14">
        <v>1066.666667</v>
      </c>
      <c r="C52" s="14">
        <v>0.31</v>
      </c>
      <c r="D52" s="14">
        <v>2</v>
      </c>
      <c r="G52" s="79"/>
      <c r="H52" s="79"/>
      <c r="I52" s="80"/>
      <c r="J52" s="80"/>
      <c r="K52" s="79"/>
      <c r="L52" s="80"/>
      <c r="M52" s="80"/>
      <c r="N52" s="80"/>
      <c r="O52" s="79"/>
      <c r="P52" s="80"/>
      <c r="Q52" s="80"/>
      <c r="R52" s="80"/>
    </row>
    <row r="53" spans="1:18" x14ac:dyDescent="0.15">
      <c r="A53">
        <v>4</v>
      </c>
      <c r="B53" s="14">
        <v>4044.4444440000002</v>
      </c>
      <c r="C53" s="14">
        <v>1.62</v>
      </c>
      <c r="D53" s="14">
        <v>25</v>
      </c>
      <c r="G53" s="79"/>
      <c r="H53" s="79"/>
      <c r="I53" s="80"/>
      <c r="J53" s="80"/>
      <c r="K53" s="79"/>
      <c r="L53" s="80"/>
      <c r="M53" s="80"/>
      <c r="N53" s="80"/>
      <c r="O53" s="79"/>
      <c r="P53" s="80"/>
      <c r="Q53" s="80"/>
      <c r="R53" s="80"/>
    </row>
    <row r="54" spans="1:18" x14ac:dyDescent="0.15">
      <c r="A54">
        <v>4</v>
      </c>
      <c r="B54" s="14">
        <v>533.33333330000005</v>
      </c>
      <c r="C54" s="14">
        <v>0.24</v>
      </c>
      <c r="D54" s="14">
        <v>2</v>
      </c>
      <c r="G54" s="79"/>
      <c r="H54" s="80"/>
      <c r="I54" s="80"/>
      <c r="J54" s="80"/>
      <c r="K54" s="79"/>
      <c r="L54" s="80"/>
      <c r="M54" s="80"/>
      <c r="N54" s="80"/>
      <c r="O54" s="79"/>
      <c r="P54" s="80"/>
      <c r="Q54" s="80"/>
      <c r="R54" s="80"/>
    </row>
    <row r="55" spans="1:18" x14ac:dyDescent="0.15">
      <c r="A55">
        <v>4</v>
      </c>
      <c r="B55" s="14">
        <v>888.88888889999998</v>
      </c>
      <c r="C55" s="14">
        <v>0.09</v>
      </c>
      <c r="D55" s="14">
        <v>2</v>
      </c>
      <c r="G55" s="79"/>
      <c r="H55" s="80"/>
      <c r="I55" s="80"/>
      <c r="J55" s="80"/>
      <c r="K55" s="79"/>
      <c r="L55" s="80"/>
      <c r="M55" s="80"/>
      <c r="N55" s="80"/>
      <c r="O55" s="79"/>
      <c r="P55" s="80"/>
      <c r="Q55" s="80"/>
      <c r="R55" s="80"/>
    </row>
    <row r="56" spans="1:18" x14ac:dyDescent="0.15">
      <c r="A56">
        <v>4</v>
      </c>
      <c r="B56" s="14">
        <v>666.66666669999995</v>
      </c>
      <c r="C56" s="14">
        <v>0.11</v>
      </c>
      <c r="D56" s="14">
        <v>2</v>
      </c>
      <c r="G56" s="79"/>
      <c r="H56" s="80"/>
      <c r="I56" s="80"/>
      <c r="J56" s="80"/>
      <c r="K56" s="79"/>
      <c r="L56" s="80"/>
      <c r="M56" s="80"/>
      <c r="N56" s="80"/>
      <c r="O56" s="79"/>
      <c r="P56" s="80"/>
      <c r="Q56" s="80"/>
      <c r="R56" s="80"/>
    </row>
    <row r="57" spans="1:18" x14ac:dyDescent="0.15">
      <c r="A57">
        <v>5</v>
      </c>
      <c r="B57" s="22">
        <v>8311</v>
      </c>
      <c r="C57" s="22">
        <v>1.2</v>
      </c>
      <c r="D57" s="22">
        <v>10</v>
      </c>
      <c r="G57" s="79"/>
      <c r="H57" s="80"/>
      <c r="I57" s="80"/>
      <c r="J57" s="80"/>
      <c r="K57" s="79"/>
      <c r="L57" s="80"/>
      <c r="M57" s="80"/>
      <c r="N57" s="80"/>
      <c r="O57" s="79"/>
      <c r="P57" s="80"/>
      <c r="Q57" s="80"/>
      <c r="R57" s="80"/>
    </row>
    <row r="58" spans="1:18" x14ac:dyDescent="0.15">
      <c r="A58">
        <v>5</v>
      </c>
      <c r="B58" s="14">
        <v>6444</v>
      </c>
      <c r="C58" s="14">
        <v>1.41</v>
      </c>
      <c r="D58" s="14">
        <v>5</v>
      </c>
      <c r="G58" s="79"/>
      <c r="H58" s="80"/>
      <c r="I58" s="80"/>
      <c r="J58" s="80"/>
      <c r="K58" s="79"/>
      <c r="L58" s="80"/>
      <c r="M58" s="80"/>
      <c r="N58" s="80"/>
      <c r="O58" s="79"/>
      <c r="P58" s="80"/>
      <c r="Q58" s="80"/>
      <c r="R58" s="80"/>
    </row>
    <row r="59" spans="1:18" x14ac:dyDescent="0.15">
      <c r="A59">
        <v>5</v>
      </c>
      <c r="B59" s="14">
        <v>8978</v>
      </c>
      <c r="C59" s="14">
        <v>0.8</v>
      </c>
      <c r="D59" s="14">
        <v>3</v>
      </c>
      <c r="G59" s="79"/>
      <c r="H59" s="80"/>
      <c r="I59" s="80"/>
      <c r="J59" s="80"/>
      <c r="K59" s="79"/>
      <c r="L59" s="80"/>
      <c r="M59" s="80"/>
      <c r="N59" s="80"/>
      <c r="O59" s="79"/>
      <c r="P59" s="80"/>
      <c r="Q59" s="80"/>
      <c r="R59" s="80"/>
    </row>
    <row r="60" spans="1:18" x14ac:dyDescent="0.15">
      <c r="A60">
        <v>5</v>
      </c>
      <c r="B60" s="14">
        <v>1289</v>
      </c>
      <c r="C60" s="14">
        <v>0.33</v>
      </c>
      <c r="D60" s="14">
        <v>1</v>
      </c>
      <c r="G60" s="79"/>
      <c r="H60" s="80"/>
      <c r="I60" s="80"/>
      <c r="J60" s="80"/>
      <c r="K60" s="79"/>
      <c r="L60" s="80"/>
      <c r="M60" s="80"/>
      <c r="N60" s="80"/>
      <c r="O60" s="79"/>
      <c r="P60" s="80"/>
      <c r="Q60" s="80"/>
      <c r="R60" s="80"/>
    </row>
    <row r="61" spans="1:18" x14ac:dyDescent="0.15">
      <c r="A61">
        <v>5</v>
      </c>
      <c r="B61" s="14">
        <v>1956</v>
      </c>
      <c r="C61" s="14">
        <v>1.02</v>
      </c>
      <c r="D61" s="14">
        <v>1</v>
      </c>
      <c r="G61" s="79"/>
      <c r="H61" s="80"/>
      <c r="I61" s="80"/>
      <c r="J61" s="80"/>
      <c r="K61" s="79"/>
      <c r="L61" s="80"/>
      <c r="M61" s="80"/>
      <c r="N61" s="80"/>
      <c r="O61" s="79"/>
      <c r="P61" s="80"/>
      <c r="Q61" s="80"/>
      <c r="R61" s="80"/>
    </row>
    <row r="62" spans="1:18" x14ac:dyDescent="0.15">
      <c r="A62">
        <v>5</v>
      </c>
      <c r="B62" s="14">
        <v>711</v>
      </c>
      <c r="C62" s="14">
        <v>0.69</v>
      </c>
      <c r="D62" s="14">
        <v>1</v>
      </c>
      <c r="G62" s="79"/>
      <c r="H62" s="80"/>
      <c r="I62" s="80"/>
      <c r="J62" s="80"/>
      <c r="K62" s="79"/>
      <c r="L62" s="80"/>
      <c r="M62" s="80"/>
      <c r="N62" s="80"/>
      <c r="O62" s="79"/>
      <c r="P62" s="80"/>
      <c r="Q62" s="80"/>
      <c r="R62" s="80"/>
    </row>
    <row r="63" spans="1:18" x14ac:dyDescent="0.15">
      <c r="A63">
        <v>5</v>
      </c>
      <c r="B63" s="14">
        <v>1422</v>
      </c>
      <c r="C63" s="14"/>
      <c r="D63" s="14"/>
      <c r="G63" s="79"/>
      <c r="H63" s="80"/>
      <c r="I63" s="80"/>
      <c r="J63" s="80"/>
      <c r="K63" s="79"/>
      <c r="L63" s="80"/>
      <c r="M63" s="80"/>
      <c r="N63" s="80"/>
      <c r="O63" s="79"/>
      <c r="P63" s="80"/>
      <c r="Q63" s="80"/>
      <c r="R63" s="80"/>
    </row>
    <row r="64" spans="1:18" x14ac:dyDescent="0.15">
      <c r="A64">
        <v>5</v>
      </c>
      <c r="B64" s="14">
        <v>2800</v>
      </c>
      <c r="C64" s="14">
        <v>7.0000000000000007E-2</v>
      </c>
      <c r="D64" s="14">
        <v>4</v>
      </c>
      <c r="G64" s="79"/>
      <c r="H64" s="80"/>
      <c r="I64" s="80"/>
      <c r="J64" s="80"/>
      <c r="K64" s="79"/>
      <c r="L64" s="80"/>
      <c r="M64" s="80"/>
      <c r="N64" s="80"/>
      <c r="O64" s="79"/>
      <c r="P64" s="80"/>
      <c r="Q64" s="80"/>
      <c r="R64" s="80"/>
    </row>
    <row r="65" spans="1:18" x14ac:dyDescent="0.15">
      <c r="A65">
        <v>5</v>
      </c>
      <c r="B65" s="14">
        <v>1956</v>
      </c>
      <c r="C65" s="14">
        <v>0.48</v>
      </c>
      <c r="D65" s="14">
        <v>6</v>
      </c>
      <c r="G65" s="79"/>
      <c r="H65" s="80"/>
      <c r="I65" s="80"/>
      <c r="J65" s="80"/>
      <c r="K65" s="79"/>
      <c r="L65" s="80"/>
      <c r="M65" s="80"/>
      <c r="N65" s="80"/>
      <c r="O65" s="79"/>
      <c r="P65" s="80"/>
      <c r="Q65" s="80"/>
      <c r="R65" s="80"/>
    </row>
    <row r="66" spans="1:18" x14ac:dyDescent="0.15">
      <c r="A66">
        <v>5</v>
      </c>
      <c r="B66" s="20">
        <v>2311</v>
      </c>
      <c r="C66" s="20">
        <v>0.61</v>
      </c>
      <c r="D66" s="20"/>
      <c r="G66" s="79"/>
      <c r="H66" s="80"/>
      <c r="I66" s="80"/>
      <c r="J66" s="80"/>
      <c r="K66" s="79"/>
      <c r="L66" s="80"/>
      <c r="M66" s="80"/>
      <c r="N66" s="80"/>
      <c r="O66" s="79"/>
      <c r="P66" s="80"/>
      <c r="Q66" s="80"/>
      <c r="R66" s="80"/>
    </row>
    <row r="67" spans="1:18" x14ac:dyDescent="0.15">
      <c r="A67">
        <v>6</v>
      </c>
      <c r="B67" s="14">
        <v>3022.2222219999999</v>
      </c>
      <c r="C67" s="14">
        <v>0.54</v>
      </c>
      <c r="D67" s="14">
        <v>5</v>
      </c>
      <c r="G67" s="79"/>
      <c r="H67" s="80"/>
      <c r="I67" s="80"/>
      <c r="J67" s="80"/>
      <c r="K67" s="79"/>
      <c r="L67" s="80"/>
      <c r="M67" s="80"/>
      <c r="N67" s="80"/>
      <c r="O67" s="79"/>
      <c r="P67" s="80"/>
      <c r="Q67" s="80"/>
      <c r="R67" s="80"/>
    </row>
    <row r="68" spans="1:18" x14ac:dyDescent="0.15">
      <c r="A68">
        <v>6</v>
      </c>
      <c r="B68" s="14">
        <v>1733.333333</v>
      </c>
      <c r="C68" s="14">
        <v>0.45</v>
      </c>
      <c r="D68" s="14">
        <v>5</v>
      </c>
      <c r="G68" s="79"/>
      <c r="H68" s="80"/>
      <c r="I68" s="80"/>
      <c r="J68" s="80"/>
      <c r="K68" s="79"/>
      <c r="L68" s="80"/>
      <c r="M68" s="80"/>
      <c r="N68" s="80"/>
      <c r="O68" s="79"/>
      <c r="P68" s="80"/>
      <c r="Q68" s="80"/>
      <c r="R68" s="80"/>
    </row>
    <row r="69" spans="1:18" x14ac:dyDescent="0.15">
      <c r="A69">
        <v>6</v>
      </c>
      <c r="B69" s="60">
        <v>41111.111109999998</v>
      </c>
      <c r="C69" s="17">
        <v>2.1</v>
      </c>
      <c r="D69" s="14">
        <v>17</v>
      </c>
      <c r="G69" s="79"/>
      <c r="H69" s="80"/>
      <c r="I69" s="80"/>
      <c r="J69" s="80"/>
      <c r="K69" s="79"/>
      <c r="L69" s="80"/>
      <c r="M69" s="80"/>
      <c r="N69" s="80"/>
      <c r="O69" s="79"/>
      <c r="P69" s="80"/>
      <c r="Q69" s="80"/>
      <c r="R69" s="80"/>
    </row>
    <row r="70" spans="1:18" x14ac:dyDescent="0.15">
      <c r="A70">
        <v>6</v>
      </c>
      <c r="B70" s="14">
        <v>3777.7777780000001</v>
      </c>
      <c r="C70" s="14">
        <v>0.47</v>
      </c>
      <c r="D70" s="14">
        <v>7</v>
      </c>
      <c r="G70" s="79"/>
      <c r="H70" s="80"/>
      <c r="I70" s="80"/>
      <c r="J70" s="80"/>
      <c r="K70" s="79"/>
      <c r="L70" s="80"/>
      <c r="M70" s="80"/>
      <c r="N70" s="80"/>
      <c r="O70" s="79"/>
      <c r="P70" s="80"/>
      <c r="Q70" s="80"/>
      <c r="R70" s="80"/>
    </row>
    <row r="71" spans="1:18" x14ac:dyDescent="0.15">
      <c r="A71">
        <v>6</v>
      </c>
      <c r="B71" s="60">
        <v>80000</v>
      </c>
      <c r="C71" s="17">
        <v>3.1</v>
      </c>
      <c r="D71" s="14">
        <v>5</v>
      </c>
      <c r="G71" s="79"/>
      <c r="H71" s="80"/>
      <c r="I71" s="80"/>
      <c r="J71" s="80"/>
      <c r="K71" s="79"/>
      <c r="L71" s="80"/>
      <c r="M71" s="80"/>
      <c r="N71" s="80"/>
      <c r="O71" s="79"/>
      <c r="P71" s="80"/>
      <c r="Q71" s="80"/>
      <c r="R71" s="80"/>
    </row>
    <row r="72" spans="1:18" x14ac:dyDescent="0.15">
      <c r="A72">
        <v>6</v>
      </c>
      <c r="B72" s="14">
        <v>17279.526539999999</v>
      </c>
      <c r="C72" s="14">
        <v>2.1295161290000002</v>
      </c>
      <c r="D72" s="14">
        <v>5</v>
      </c>
      <c r="G72" s="79"/>
      <c r="H72" s="80"/>
      <c r="I72" s="80"/>
      <c r="J72" s="80"/>
      <c r="K72" s="79"/>
      <c r="L72" s="80"/>
      <c r="M72" s="80"/>
      <c r="N72" s="80"/>
      <c r="O72" s="79"/>
      <c r="P72" s="80"/>
      <c r="Q72" s="80"/>
      <c r="R72" s="80"/>
    </row>
    <row r="73" spans="1:18" x14ac:dyDescent="0.15">
      <c r="A73">
        <v>6</v>
      </c>
      <c r="B73" s="14">
        <v>7288.8888889999998</v>
      </c>
      <c r="C73" s="14">
        <v>1.97</v>
      </c>
      <c r="D73" s="14">
        <v>25</v>
      </c>
      <c r="G73" s="79"/>
      <c r="H73" s="80"/>
      <c r="I73" s="80"/>
      <c r="J73" s="80"/>
      <c r="K73" s="79"/>
      <c r="L73" s="80"/>
      <c r="M73" s="80"/>
      <c r="N73" s="80"/>
      <c r="O73" s="79"/>
      <c r="P73" s="80"/>
      <c r="Q73" s="80"/>
      <c r="R73" s="80"/>
    </row>
    <row r="74" spans="1:18" x14ac:dyDescent="0.15">
      <c r="A74">
        <v>6</v>
      </c>
      <c r="B74" s="17">
        <v>17007.198520000002</v>
      </c>
      <c r="C74" s="17">
        <v>3.813894737</v>
      </c>
      <c r="D74" s="14">
        <v>5</v>
      </c>
      <c r="G74" s="79"/>
      <c r="H74" s="80"/>
      <c r="I74" s="80"/>
      <c r="J74" s="80"/>
      <c r="K74" s="79"/>
      <c r="L74" s="80"/>
      <c r="M74" s="80"/>
      <c r="N74" s="80"/>
      <c r="O74" s="79"/>
      <c r="P74" s="80"/>
      <c r="Q74" s="80"/>
      <c r="R74" s="80"/>
    </row>
    <row r="75" spans="1:18" x14ac:dyDescent="0.15">
      <c r="A75">
        <v>6</v>
      </c>
      <c r="B75" s="17">
        <v>10076.02274</v>
      </c>
      <c r="C75" s="17">
        <v>2.491404255</v>
      </c>
      <c r="D75" s="14">
        <v>17</v>
      </c>
      <c r="G75" s="79"/>
      <c r="H75" s="80"/>
      <c r="I75" s="80"/>
      <c r="J75" s="80"/>
      <c r="K75" s="79"/>
      <c r="L75" s="80"/>
      <c r="M75" s="80"/>
      <c r="N75" s="80"/>
      <c r="O75" s="79"/>
      <c r="P75" s="80"/>
      <c r="Q75" s="80"/>
      <c r="R75" s="80"/>
    </row>
    <row r="76" spans="1:18" x14ac:dyDescent="0.15">
      <c r="A76">
        <v>6</v>
      </c>
      <c r="B76" s="17">
        <v>19706.235629999999</v>
      </c>
      <c r="C76" s="17">
        <v>2.5630967739999999</v>
      </c>
      <c r="D76" s="14">
        <v>5</v>
      </c>
      <c r="G76" s="79"/>
      <c r="H76" s="80"/>
      <c r="I76" s="80"/>
      <c r="J76" s="80"/>
      <c r="K76" s="79"/>
      <c r="L76" s="80"/>
      <c r="M76" s="80"/>
      <c r="N76" s="80"/>
      <c r="O76" s="79"/>
      <c r="P76" s="80"/>
      <c r="Q76" s="80"/>
      <c r="R76" s="80"/>
    </row>
    <row r="77" spans="1:18" x14ac:dyDescent="0.15">
      <c r="B77" s="14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</row>
    <row r="78" spans="1:18" x14ac:dyDescent="0.15">
      <c r="B78" s="14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</row>
    <row r="79" spans="1:18" x14ac:dyDescent="0.15">
      <c r="B79" t="s">
        <v>60</v>
      </c>
      <c r="C79" t="s">
        <v>61</v>
      </c>
      <c r="D79" t="s">
        <v>62</v>
      </c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</row>
    <row r="80" spans="1:18" x14ac:dyDescent="0.15">
      <c r="A80">
        <v>9</v>
      </c>
      <c r="B80" s="17">
        <v>50405.228759999998</v>
      </c>
      <c r="C80" s="60">
        <v>19.28</v>
      </c>
      <c r="D80" s="60">
        <v>60</v>
      </c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</row>
    <row r="81" spans="1:18" x14ac:dyDescent="0.15">
      <c r="A81">
        <v>9</v>
      </c>
      <c r="B81" s="60">
        <v>64933.333330000001</v>
      </c>
      <c r="C81" s="14">
        <v>5.71</v>
      </c>
      <c r="D81" s="14">
        <v>12</v>
      </c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</row>
    <row r="82" spans="1:18" x14ac:dyDescent="0.15">
      <c r="A82">
        <v>9</v>
      </c>
      <c r="B82" s="17">
        <v>33858.85886</v>
      </c>
      <c r="C82" s="17">
        <v>13.75</v>
      </c>
      <c r="D82" s="14">
        <v>25</v>
      </c>
    </row>
    <row r="83" spans="1:18" x14ac:dyDescent="0.15">
      <c r="A83">
        <v>9</v>
      </c>
      <c r="B83" s="17">
        <v>31511.111110000002</v>
      </c>
      <c r="C83" s="17">
        <v>7.09</v>
      </c>
      <c r="D83" s="14">
        <v>17</v>
      </c>
    </row>
    <row r="84" spans="1:18" x14ac:dyDescent="0.15">
      <c r="A84">
        <v>9</v>
      </c>
      <c r="B84" s="17">
        <v>46981.684979999998</v>
      </c>
      <c r="C84" s="17">
        <v>7.95</v>
      </c>
      <c r="D84" s="14">
        <v>20</v>
      </c>
    </row>
    <row r="85" spans="1:18" x14ac:dyDescent="0.15">
      <c r="A85">
        <v>9</v>
      </c>
      <c r="B85" s="17">
        <v>15824.24242</v>
      </c>
      <c r="C85" s="17">
        <v>3.73</v>
      </c>
      <c r="D85" s="14">
        <v>7</v>
      </c>
    </row>
    <row r="86" spans="1:18" x14ac:dyDescent="0.15">
      <c r="A86">
        <v>9</v>
      </c>
      <c r="B86" s="14">
        <v>16977.77778</v>
      </c>
      <c r="C86" s="14">
        <v>0.73</v>
      </c>
      <c r="D86" s="14">
        <v>2</v>
      </c>
    </row>
    <row r="87" spans="1:18" x14ac:dyDescent="0.15">
      <c r="A87">
        <v>9</v>
      </c>
      <c r="B87" s="17">
        <v>22266.666669999999</v>
      </c>
      <c r="C87" s="17">
        <v>6.68</v>
      </c>
      <c r="D87" s="14">
        <v>17</v>
      </c>
    </row>
    <row r="88" spans="1:18" x14ac:dyDescent="0.15">
      <c r="A88">
        <v>9</v>
      </c>
      <c r="B88" s="17">
        <v>8279.3650789999992</v>
      </c>
      <c r="C88" s="17">
        <v>1.63</v>
      </c>
      <c r="D88" s="14">
        <v>5</v>
      </c>
    </row>
    <row r="89" spans="1:18" x14ac:dyDescent="0.15">
      <c r="A89">
        <v>9</v>
      </c>
      <c r="B89" s="14">
        <v>17333.333330000001</v>
      </c>
      <c r="C89" s="14">
        <v>1.06</v>
      </c>
      <c r="D89" s="14">
        <v>5</v>
      </c>
    </row>
    <row r="90" spans="1:18" x14ac:dyDescent="0.15">
      <c r="A90">
        <v>9</v>
      </c>
      <c r="B90" s="14">
        <v>1644.444444</v>
      </c>
      <c r="C90" s="14">
        <v>0.08</v>
      </c>
      <c r="D90" s="14">
        <v>1</v>
      </c>
    </row>
    <row r="91" spans="1:18" x14ac:dyDescent="0.15">
      <c r="A91">
        <v>9</v>
      </c>
      <c r="B91" s="17">
        <v>52385.185189999997</v>
      </c>
      <c r="C91" s="17">
        <v>6.8</v>
      </c>
      <c r="D91" s="14">
        <v>17</v>
      </c>
    </row>
    <row r="92" spans="1:18" x14ac:dyDescent="0.15">
      <c r="A92">
        <v>9</v>
      </c>
      <c r="B92" s="34">
        <v>30344.827590000001</v>
      </c>
      <c r="C92" s="34">
        <v>5.5</v>
      </c>
      <c r="D92" s="20">
        <v>12</v>
      </c>
    </row>
    <row r="93" spans="1:18" x14ac:dyDescent="0.15">
      <c r="A93">
        <v>10</v>
      </c>
      <c r="D93" s="14">
        <v>25</v>
      </c>
    </row>
    <row r="94" spans="1:18" x14ac:dyDescent="0.15">
      <c r="A94">
        <v>10</v>
      </c>
      <c r="D94" s="14">
        <v>17</v>
      </c>
    </row>
    <row r="95" spans="1:18" x14ac:dyDescent="0.15">
      <c r="A95">
        <v>10</v>
      </c>
      <c r="B95" s="18">
        <v>28977.77778</v>
      </c>
      <c r="C95" s="18">
        <v>6.74</v>
      </c>
      <c r="D95" s="14">
        <v>38</v>
      </c>
    </row>
    <row r="96" spans="1:18" x14ac:dyDescent="0.15">
      <c r="A96">
        <v>10</v>
      </c>
      <c r="B96" s="14"/>
      <c r="D96" s="14">
        <v>17</v>
      </c>
    </row>
    <row r="97" spans="1:4" x14ac:dyDescent="0.15">
      <c r="A97">
        <v>10</v>
      </c>
      <c r="B97" s="18">
        <v>31466.666669999999</v>
      </c>
      <c r="C97" s="18">
        <v>5.05</v>
      </c>
      <c r="D97" s="14">
        <v>7</v>
      </c>
    </row>
    <row r="98" spans="1:4" x14ac:dyDescent="0.15">
      <c r="A98">
        <v>10</v>
      </c>
      <c r="B98" s="18">
        <v>59600</v>
      </c>
      <c r="C98" s="18">
        <v>6.58</v>
      </c>
      <c r="D98" s="14">
        <v>38</v>
      </c>
    </row>
    <row r="99" spans="1:4" x14ac:dyDescent="0.15">
      <c r="A99">
        <v>10</v>
      </c>
      <c r="B99" s="14"/>
      <c r="D99" s="14">
        <v>17</v>
      </c>
    </row>
    <row r="100" spans="1:4" x14ac:dyDescent="0.15">
      <c r="A100">
        <v>10</v>
      </c>
      <c r="B100" s="18">
        <v>43466.666669999999</v>
      </c>
      <c r="C100" s="18">
        <v>8.1</v>
      </c>
      <c r="D100" s="14">
        <v>25</v>
      </c>
    </row>
    <row r="101" spans="1:4" x14ac:dyDescent="0.15">
      <c r="A101">
        <v>10</v>
      </c>
      <c r="B101" s="16"/>
      <c r="C101" s="15"/>
      <c r="D101" s="14">
        <v>17</v>
      </c>
    </row>
    <row r="102" spans="1:4" x14ac:dyDescent="0.15">
      <c r="A102">
        <v>10</v>
      </c>
      <c r="B102" s="16"/>
      <c r="C102" s="15"/>
      <c r="D102" s="14">
        <v>25</v>
      </c>
    </row>
    <row r="103" spans="1:4" x14ac:dyDescent="0.15">
      <c r="A103">
        <v>10</v>
      </c>
      <c r="B103" s="16"/>
      <c r="C103" s="15"/>
      <c r="D103" s="14">
        <v>17</v>
      </c>
    </row>
    <row r="104" spans="1:4" x14ac:dyDescent="0.15">
      <c r="A104">
        <v>10</v>
      </c>
      <c r="B104" s="16"/>
      <c r="C104" s="15"/>
      <c r="D104" s="14">
        <v>25</v>
      </c>
    </row>
    <row r="105" spans="1:4" x14ac:dyDescent="0.15">
      <c r="A105">
        <v>10</v>
      </c>
      <c r="B105" s="14">
        <v>25822.22222</v>
      </c>
      <c r="C105" s="17">
        <v>6.5238095238095237</v>
      </c>
      <c r="D105" s="14">
        <v>17</v>
      </c>
    </row>
    <row r="106" spans="1:4" x14ac:dyDescent="0.15">
      <c r="A106">
        <v>10</v>
      </c>
      <c r="B106" s="14"/>
      <c r="D106" s="14">
        <v>12</v>
      </c>
    </row>
    <row r="107" spans="1:4" x14ac:dyDescent="0.15">
      <c r="A107">
        <v>10</v>
      </c>
      <c r="B107" s="26">
        <v>12400</v>
      </c>
      <c r="C107" s="26">
        <v>1.57</v>
      </c>
      <c r="D107" s="20">
        <v>45</v>
      </c>
    </row>
    <row r="108" spans="1:4" x14ac:dyDescent="0.15">
      <c r="A108">
        <v>11</v>
      </c>
      <c r="B108" s="22">
        <v>2711.1111110000002</v>
      </c>
      <c r="C108" s="22">
        <v>0.71</v>
      </c>
      <c r="D108" s="22">
        <v>2</v>
      </c>
    </row>
    <row r="109" spans="1:4" x14ac:dyDescent="0.15">
      <c r="A109">
        <v>11</v>
      </c>
      <c r="B109" s="17">
        <v>3723.8095239999998</v>
      </c>
      <c r="C109" s="17">
        <v>1.1335714287090766</v>
      </c>
      <c r="D109" s="14">
        <v>15</v>
      </c>
    </row>
    <row r="110" spans="1:4" x14ac:dyDescent="0.15">
      <c r="A110">
        <v>11</v>
      </c>
      <c r="B110" s="17">
        <v>5872.9411760000003</v>
      </c>
      <c r="C110" s="17">
        <v>2.3400000003083292</v>
      </c>
      <c r="D110" s="14">
        <v>9</v>
      </c>
    </row>
    <row r="111" spans="1:4" x14ac:dyDescent="0.15">
      <c r="A111">
        <v>11</v>
      </c>
      <c r="B111" s="17">
        <v>24948.57143</v>
      </c>
      <c r="C111" s="17">
        <v>4.7571428573739185</v>
      </c>
      <c r="D111" s="14">
        <v>33</v>
      </c>
    </row>
    <row r="112" spans="1:4" x14ac:dyDescent="0.15">
      <c r="A112">
        <v>11</v>
      </c>
      <c r="B112" s="17">
        <v>26851.851849999999</v>
      </c>
      <c r="C112" s="60">
        <v>46.319444443318631</v>
      </c>
      <c r="D112" s="14">
        <v>19</v>
      </c>
    </row>
    <row r="113" spans="1:6" x14ac:dyDescent="0.15">
      <c r="A113">
        <v>11</v>
      </c>
      <c r="B113" s="14">
        <v>14088.88889</v>
      </c>
      <c r="C113" s="14">
        <v>5</v>
      </c>
      <c r="D113" s="14">
        <v>17</v>
      </c>
    </row>
    <row r="114" spans="1:6" x14ac:dyDescent="0.15">
      <c r="A114">
        <v>11</v>
      </c>
      <c r="B114" s="14">
        <v>24044.444439999999</v>
      </c>
      <c r="C114" s="14">
        <v>6</v>
      </c>
      <c r="D114" s="14">
        <v>29</v>
      </c>
    </row>
    <row r="115" spans="1:6" x14ac:dyDescent="0.15">
      <c r="A115">
        <v>11</v>
      </c>
      <c r="B115" s="17">
        <v>33333.333330000001</v>
      </c>
      <c r="C115" s="17">
        <v>8.6999999999999993</v>
      </c>
      <c r="D115" s="14">
        <v>25</v>
      </c>
    </row>
    <row r="116" spans="1:6" x14ac:dyDescent="0.15">
      <c r="A116">
        <v>11</v>
      </c>
      <c r="B116" s="17">
        <v>12622.22222</v>
      </c>
      <c r="C116" s="17">
        <v>7.3028571425441626</v>
      </c>
      <c r="D116" s="14">
        <v>25</v>
      </c>
    </row>
    <row r="117" spans="1:6" x14ac:dyDescent="0.15">
      <c r="A117">
        <v>8</v>
      </c>
      <c r="B117" s="15"/>
      <c r="D117" s="14">
        <v>25</v>
      </c>
    </row>
    <row r="118" spans="1:6" x14ac:dyDescent="0.15">
      <c r="A118">
        <v>8</v>
      </c>
      <c r="B118" s="14">
        <v>29777.77778</v>
      </c>
      <c r="C118">
        <v>5.54</v>
      </c>
      <c r="D118" s="14">
        <v>22</v>
      </c>
    </row>
    <row r="119" spans="1:6" x14ac:dyDescent="0.15">
      <c r="A119">
        <v>8</v>
      </c>
      <c r="B119" s="60">
        <v>69752.484190000003</v>
      </c>
      <c r="C119" s="62">
        <v>18.170000000000002</v>
      </c>
      <c r="D119" s="14">
        <v>45</v>
      </c>
    </row>
    <row r="120" spans="1:6" x14ac:dyDescent="0.15">
      <c r="A120">
        <v>8</v>
      </c>
      <c r="B120" s="15"/>
      <c r="D120" s="14">
        <v>40</v>
      </c>
    </row>
    <row r="121" spans="1:6" x14ac:dyDescent="0.15">
      <c r="A121">
        <v>8</v>
      </c>
      <c r="B121" s="14">
        <v>15147.82609</v>
      </c>
      <c r="C121">
        <v>8.7100000000000009</v>
      </c>
      <c r="D121" s="14">
        <v>10</v>
      </c>
    </row>
    <row r="122" spans="1:6" x14ac:dyDescent="0.15">
      <c r="A122">
        <v>8</v>
      </c>
      <c r="B122" s="14">
        <v>28825.599999999999</v>
      </c>
      <c r="C122">
        <v>5.27</v>
      </c>
      <c r="D122" s="14">
        <v>15</v>
      </c>
    </row>
    <row r="123" spans="1:6" x14ac:dyDescent="0.15">
      <c r="A123">
        <v>8</v>
      </c>
      <c r="B123" s="15"/>
      <c r="D123" s="14">
        <v>15</v>
      </c>
      <c r="F123" s="8"/>
    </row>
    <row r="124" spans="1:6" x14ac:dyDescent="0.15">
      <c r="A124">
        <v>8</v>
      </c>
      <c r="B124" s="14">
        <v>13600</v>
      </c>
      <c r="C124">
        <v>4.95</v>
      </c>
      <c r="D124" s="14">
        <v>22</v>
      </c>
    </row>
    <row r="125" spans="1:6" x14ac:dyDescent="0.15">
      <c r="A125">
        <v>8</v>
      </c>
      <c r="B125" s="14">
        <v>26757.26496</v>
      </c>
      <c r="C125">
        <v>7.58</v>
      </c>
      <c r="D125" s="14">
        <v>30</v>
      </c>
    </row>
    <row r="126" spans="1:6" x14ac:dyDescent="0.15">
      <c r="A126">
        <v>8</v>
      </c>
      <c r="B126" s="14">
        <v>29067.29264</v>
      </c>
      <c r="C126" s="62">
        <v>15.55</v>
      </c>
      <c r="D126" s="14">
        <v>25</v>
      </c>
    </row>
    <row r="127" spans="1:6" x14ac:dyDescent="0.15">
      <c r="A127">
        <v>8</v>
      </c>
      <c r="B127" s="15"/>
      <c r="D127" s="14">
        <v>5</v>
      </c>
    </row>
    <row r="128" spans="1:6" x14ac:dyDescent="0.15">
      <c r="A128">
        <v>8</v>
      </c>
      <c r="B128" s="15"/>
      <c r="D128" s="14">
        <v>22</v>
      </c>
    </row>
    <row r="129" spans="1:4" x14ac:dyDescent="0.15">
      <c r="A129">
        <v>8</v>
      </c>
      <c r="B129" s="15"/>
      <c r="D129" s="14">
        <v>6</v>
      </c>
    </row>
    <row r="130" spans="1:4" x14ac:dyDescent="0.15">
      <c r="A130">
        <v>8</v>
      </c>
      <c r="B130" s="15"/>
      <c r="D130" s="14">
        <v>5</v>
      </c>
    </row>
    <row r="131" spans="1:4" x14ac:dyDescent="0.15">
      <c r="A131">
        <v>8</v>
      </c>
      <c r="B131" s="19">
        <v>15200</v>
      </c>
      <c r="C131">
        <v>2.62</v>
      </c>
      <c r="D131" s="20">
        <v>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929D1-F221-455D-AFAB-A0BA9DEF76A9}">
  <dimension ref="A1:D48"/>
  <sheetViews>
    <sheetView zoomScale="99" workbookViewId="0">
      <selection activeCell="A2" sqref="A2:D32"/>
    </sheetView>
  </sheetViews>
  <sheetFormatPr baseColWidth="10" defaultColWidth="11.5" defaultRowHeight="13" x14ac:dyDescent="0.15"/>
  <cols>
    <col min="2" max="2" width="18.1640625" customWidth="1"/>
    <col min="3" max="3" width="19.6640625" customWidth="1"/>
    <col min="4" max="4" width="15.1640625" customWidth="1"/>
  </cols>
  <sheetData>
    <row r="1" spans="1:4" x14ac:dyDescent="0.15">
      <c r="B1" t="s">
        <v>43</v>
      </c>
      <c r="C1" t="s">
        <v>44</v>
      </c>
      <c r="D1" t="s">
        <v>42</v>
      </c>
    </row>
    <row r="2" spans="1:4" x14ac:dyDescent="0.15">
      <c r="A2">
        <v>4</v>
      </c>
      <c r="B2" s="22">
        <v>8800</v>
      </c>
      <c r="C2" s="22">
        <v>1.61</v>
      </c>
      <c r="D2" s="22">
        <v>25</v>
      </c>
    </row>
    <row r="3" spans="1:4" x14ac:dyDescent="0.15">
      <c r="A3">
        <v>4</v>
      </c>
      <c r="B3" s="14">
        <v>2222.2222219999999</v>
      </c>
      <c r="C3" s="14">
        <v>1.72</v>
      </c>
      <c r="D3" s="14">
        <v>5</v>
      </c>
    </row>
    <row r="4" spans="1:4" x14ac:dyDescent="0.15">
      <c r="A4">
        <v>4</v>
      </c>
      <c r="B4" s="14">
        <v>933.33333330000005</v>
      </c>
      <c r="C4" s="14">
        <v>0.32</v>
      </c>
      <c r="D4" s="14">
        <v>2</v>
      </c>
    </row>
    <row r="5" spans="1:4" x14ac:dyDescent="0.15">
      <c r="A5">
        <v>4</v>
      </c>
      <c r="B5" s="14">
        <v>1422.2222220000001</v>
      </c>
      <c r="C5" s="14">
        <v>0.36</v>
      </c>
      <c r="D5" s="14">
        <v>2</v>
      </c>
    </row>
    <row r="6" spans="1:4" x14ac:dyDescent="0.15">
      <c r="A6">
        <v>4</v>
      </c>
      <c r="B6" s="14">
        <v>3555.5555559999998</v>
      </c>
      <c r="C6" s="14">
        <v>1.63</v>
      </c>
    </row>
    <row r="7" spans="1:4" x14ac:dyDescent="0.15">
      <c r="A7">
        <v>4</v>
      </c>
      <c r="B7" s="14">
        <v>11244.444439999999</v>
      </c>
      <c r="C7" s="14">
        <v>1.76</v>
      </c>
      <c r="D7" s="14">
        <v>17</v>
      </c>
    </row>
    <row r="8" spans="1:4" x14ac:dyDescent="0.15">
      <c r="A8">
        <v>4</v>
      </c>
      <c r="B8" s="14">
        <v>1066.666667</v>
      </c>
      <c r="C8" s="14">
        <v>0.31</v>
      </c>
      <c r="D8" s="14">
        <v>2</v>
      </c>
    </row>
    <row r="9" spans="1:4" x14ac:dyDescent="0.15">
      <c r="A9">
        <v>4</v>
      </c>
      <c r="B9" s="14">
        <v>4044.4444440000002</v>
      </c>
      <c r="C9" s="14">
        <v>1.62</v>
      </c>
      <c r="D9" s="14">
        <v>25</v>
      </c>
    </row>
    <row r="10" spans="1:4" x14ac:dyDescent="0.15">
      <c r="A10">
        <v>4</v>
      </c>
      <c r="B10" s="14">
        <v>533.33333330000005</v>
      </c>
      <c r="C10" s="14">
        <v>0.24</v>
      </c>
      <c r="D10" s="14">
        <v>2</v>
      </c>
    </row>
    <row r="11" spans="1:4" x14ac:dyDescent="0.15">
      <c r="A11">
        <v>4</v>
      </c>
      <c r="B11" s="14">
        <v>888.88888889999998</v>
      </c>
      <c r="C11" s="14">
        <v>0.09</v>
      </c>
      <c r="D11" s="14">
        <v>2</v>
      </c>
    </row>
    <row r="12" spans="1:4" x14ac:dyDescent="0.15">
      <c r="A12">
        <v>4</v>
      </c>
      <c r="B12" s="14">
        <v>666.66666669999995</v>
      </c>
      <c r="C12" s="14">
        <v>0.11</v>
      </c>
      <c r="D12" s="14">
        <v>2</v>
      </c>
    </row>
    <row r="13" spans="1:4" x14ac:dyDescent="0.15">
      <c r="A13">
        <v>5</v>
      </c>
      <c r="B13" s="22">
        <v>8311</v>
      </c>
      <c r="C13" s="22">
        <v>1.2</v>
      </c>
      <c r="D13" s="22">
        <v>10</v>
      </c>
    </row>
    <row r="14" spans="1:4" x14ac:dyDescent="0.15">
      <c r="A14">
        <v>5</v>
      </c>
      <c r="B14" s="14">
        <v>6444</v>
      </c>
      <c r="C14" s="14">
        <v>1.41</v>
      </c>
      <c r="D14" s="14">
        <v>5</v>
      </c>
    </row>
    <row r="15" spans="1:4" x14ac:dyDescent="0.15">
      <c r="A15">
        <v>5</v>
      </c>
      <c r="B15" s="14">
        <v>8978</v>
      </c>
      <c r="C15" s="14">
        <v>0.8</v>
      </c>
      <c r="D15" s="14">
        <v>3</v>
      </c>
    </row>
    <row r="16" spans="1:4" x14ac:dyDescent="0.15">
      <c r="A16">
        <v>5</v>
      </c>
      <c r="B16" s="14">
        <v>1289</v>
      </c>
      <c r="C16" s="14">
        <v>0.33</v>
      </c>
      <c r="D16" s="14">
        <v>1</v>
      </c>
    </row>
    <row r="17" spans="1:4" x14ac:dyDescent="0.15">
      <c r="A17">
        <v>5</v>
      </c>
      <c r="B17" s="14">
        <v>1956</v>
      </c>
      <c r="C17" s="14">
        <v>1.02</v>
      </c>
      <c r="D17" s="14">
        <v>1</v>
      </c>
    </row>
    <row r="18" spans="1:4" x14ac:dyDescent="0.15">
      <c r="A18">
        <v>5</v>
      </c>
      <c r="B18" s="14">
        <v>711</v>
      </c>
      <c r="C18" s="14">
        <v>0.69</v>
      </c>
      <c r="D18" s="14">
        <v>1</v>
      </c>
    </row>
    <row r="19" spans="1:4" x14ac:dyDescent="0.15">
      <c r="A19">
        <v>5</v>
      </c>
      <c r="B19" s="14">
        <v>1422</v>
      </c>
      <c r="C19" s="14"/>
      <c r="D19" s="14"/>
    </row>
    <row r="20" spans="1:4" x14ac:dyDescent="0.15">
      <c r="A20">
        <v>5</v>
      </c>
      <c r="B20" s="14">
        <v>2800</v>
      </c>
      <c r="C20" s="14">
        <v>7.0000000000000007E-2</v>
      </c>
      <c r="D20" s="14">
        <v>4</v>
      </c>
    </row>
    <row r="21" spans="1:4" x14ac:dyDescent="0.15">
      <c r="A21">
        <v>5</v>
      </c>
      <c r="B21" s="14">
        <v>1956</v>
      </c>
      <c r="C21" s="14">
        <v>0.48</v>
      </c>
      <c r="D21" s="14">
        <v>6</v>
      </c>
    </row>
    <row r="22" spans="1:4" x14ac:dyDescent="0.15">
      <c r="A22">
        <v>5</v>
      </c>
      <c r="B22" s="20">
        <v>2311</v>
      </c>
      <c r="C22" s="20">
        <v>0.61</v>
      </c>
      <c r="D22" s="20"/>
    </row>
    <row r="23" spans="1:4" x14ac:dyDescent="0.15">
      <c r="A23">
        <v>6</v>
      </c>
      <c r="B23" s="14">
        <v>3022.2222219999999</v>
      </c>
      <c r="C23" s="14">
        <v>0.54</v>
      </c>
      <c r="D23" s="14">
        <v>5</v>
      </c>
    </row>
    <row r="24" spans="1:4" x14ac:dyDescent="0.15">
      <c r="A24">
        <v>6</v>
      </c>
      <c r="B24" s="14">
        <v>1733.333333</v>
      </c>
      <c r="C24" s="14">
        <v>0.45</v>
      </c>
      <c r="D24" s="14">
        <v>5</v>
      </c>
    </row>
    <row r="25" spans="1:4" x14ac:dyDescent="0.15">
      <c r="A25">
        <v>6</v>
      </c>
      <c r="B25" s="60"/>
      <c r="C25" s="17">
        <v>2.1</v>
      </c>
      <c r="D25" s="14">
        <v>17</v>
      </c>
    </row>
    <row r="26" spans="1:4" x14ac:dyDescent="0.15">
      <c r="A26">
        <v>6</v>
      </c>
      <c r="B26" s="14">
        <v>3777.7777780000001</v>
      </c>
      <c r="C26" s="14">
        <v>0.47</v>
      </c>
      <c r="D26" s="14">
        <v>7</v>
      </c>
    </row>
    <row r="27" spans="1:4" x14ac:dyDescent="0.15">
      <c r="A27">
        <v>6</v>
      </c>
      <c r="B27" s="60"/>
      <c r="C27" s="17">
        <v>3.1</v>
      </c>
      <c r="D27" s="14">
        <v>5</v>
      </c>
    </row>
    <row r="28" spans="1:4" x14ac:dyDescent="0.15">
      <c r="A28">
        <v>6</v>
      </c>
      <c r="B28" s="14">
        <v>17279.526539999999</v>
      </c>
      <c r="C28" s="14">
        <v>2.1295161290000002</v>
      </c>
      <c r="D28" s="14">
        <v>5</v>
      </c>
    </row>
    <row r="29" spans="1:4" x14ac:dyDescent="0.15">
      <c r="A29">
        <v>6</v>
      </c>
      <c r="B29" s="14">
        <v>7288.8888889999998</v>
      </c>
      <c r="C29" s="14">
        <v>1.97</v>
      </c>
      <c r="D29" s="60">
        <v>25</v>
      </c>
    </row>
    <row r="30" spans="1:4" x14ac:dyDescent="0.15">
      <c r="A30">
        <v>6</v>
      </c>
      <c r="B30" s="17">
        <v>17007.198520000002</v>
      </c>
      <c r="C30" s="17">
        <v>3.813894737</v>
      </c>
      <c r="D30" s="14">
        <v>5</v>
      </c>
    </row>
    <row r="31" spans="1:4" x14ac:dyDescent="0.15">
      <c r="A31">
        <v>6</v>
      </c>
      <c r="B31" s="17">
        <v>10076.02274</v>
      </c>
      <c r="C31" s="17">
        <v>2.491404255</v>
      </c>
      <c r="D31" s="14">
        <v>17</v>
      </c>
    </row>
    <row r="32" spans="1:4" x14ac:dyDescent="0.15">
      <c r="A32">
        <v>6</v>
      </c>
      <c r="B32" s="60">
        <v>19706.235629999999</v>
      </c>
      <c r="C32" s="17">
        <v>2.5630967739999999</v>
      </c>
      <c r="D32" s="14">
        <v>5</v>
      </c>
    </row>
    <row r="33" spans="2:2" x14ac:dyDescent="0.15">
      <c r="B33" s="14"/>
    </row>
    <row r="34" spans="2:2" x14ac:dyDescent="0.15">
      <c r="B34" s="14"/>
    </row>
    <row r="35" spans="2:2" x14ac:dyDescent="0.15">
      <c r="B35" s="14"/>
    </row>
    <row r="36" spans="2:2" x14ac:dyDescent="0.15">
      <c r="B36" s="14"/>
    </row>
    <row r="37" spans="2:2" x14ac:dyDescent="0.15">
      <c r="B37" s="14"/>
    </row>
    <row r="38" spans="2:2" x14ac:dyDescent="0.15">
      <c r="B38" s="14"/>
    </row>
    <row r="39" spans="2:2" x14ac:dyDescent="0.15">
      <c r="B39" s="14"/>
    </row>
    <row r="40" spans="2:2" x14ac:dyDescent="0.15">
      <c r="B40" s="14"/>
    </row>
    <row r="41" spans="2:2" x14ac:dyDescent="0.15">
      <c r="B41" s="14"/>
    </row>
    <row r="42" spans="2:2" x14ac:dyDescent="0.15">
      <c r="B42" s="14"/>
    </row>
    <row r="43" spans="2:2" x14ac:dyDescent="0.15">
      <c r="B43" s="14"/>
    </row>
    <row r="44" spans="2:2" x14ac:dyDescent="0.15">
      <c r="B44" s="14"/>
    </row>
    <row r="45" spans="2:2" x14ac:dyDescent="0.15">
      <c r="B45" s="14"/>
    </row>
    <row r="46" spans="2:2" x14ac:dyDescent="0.15">
      <c r="B46" s="14"/>
    </row>
    <row r="47" spans="2:2" x14ac:dyDescent="0.15">
      <c r="B47" s="14"/>
    </row>
    <row r="48" spans="2:2" x14ac:dyDescent="0.15">
      <c r="B48" s="14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73DA9-3703-42E4-8A2F-19E1BF63C4F6}">
  <dimension ref="A1:D92"/>
  <sheetViews>
    <sheetView topLeftCell="A21" workbookViewId="0">
      <selection activeCell="B9" sqref="B9"/>
    </sheetView>
  </sheetViews>
  <sheetFormatPr baseColWidth="10" defaultColWidth="11.5" defaultRowHeight="13" x14ac:dyDescent="0.15"/>
  <cols>
    <col min="2" max="2" width="18.1640625" customWidth="1"/>
    <col min="3" max="3" width="19.6640625" customWidth="1"/>
    <col min="4" max="4" width="15.1640625" customWidth="1"/>
  </cols>
  <sheetData>
    <row r="1" spans="1:4" x14ac:dyDescent="0.15">
      <c r="B1" t="s">
        <v>43</v>
      </c>
      <c r="C1" t="s">
        <v>44</v>
      </c>
      <c r="D1" t="s">
        <v>42</v>
      </c>
    </row>
    <row r="2" spans="1:4" x14ac:dyDescent="0.15">
      <c r="A2">
        <v>2</v>
      </c>
      <c r="B2" s="22">
        <v>15555.555560000001</v>
      </c>
      <c r="C2" s="22">
        <v>2.76</v>
      </c>
      <c r="D2" s="22">
        <v>18</v>
      </c>
    </row>
    <row r="3" spans="1:4" x14ac:dyDescent="0.15">
      <c r="A3">
        <v>2</v>
      </c>
      <c r="B3" s="14">
        <v>14266.666670000001</v>
      </c>
      <c r="C3" s="14">
        <v>1.71</v>
      </c>
      <c r="D3" s="14">
        <v>10</v>
      </c>
    </row>
    <row r="4" spans="1:4" x14ac:dyDescent="0.15">
      <c r="A4">
        <v>2</v>
      </c>
      <c r="B4" s="14">
        <v>19777.77778</v>
      </c>
      <c r="C4" s="14">
        <v>2.2200000000000002</v>
      </c>
      <c r="D4" s="14">
        <v>12</v>
      </c>
    </row>
    <row r="5" spans="1:4" x14ac:dyDescent="0.15">
      <c r="A5">
        <v>2</v>
      </c>
      <c r="B5" s="14">
        <v>24088.888889999998</v>
      </c>
      <c r="C5" s="60"/>
      <c r="D5" s="14">
        <v>17</v>
      </c>
    </row>
    <row r="6" spans="1:4" x14ac:dyDescent="0.15">
      <c r="A6">
        <v>2</v>
      </c>
      <c r="B6" s="14">
        <v>21777.77778</v>
      </c>
      <c r="C6" s="14">
        <v>1.71</v>
      </c>
      <c r="D6" s="14">
        <v>15</v>
      </c>
    </row>
    <row r="7" spans="1:4" x14ac:dyDescent="0.15">
      <c r="A7">
        <v>2</v>
      </c>
      <c r="B7" s="14">
        <v>20444.444439999999</v>
      </c>
      <c r="C7" s="14">
        <v>3.56</v>
      </c>
      <c r="D7" s="14">
        <v>20</v>
      </c>
    </row>
    <row r="8" spans="1:4" x14ac:dyDescent="0.15">
      <c r="A8">
        <v>2</v>
      </c>
      <c r="B8" s="14">
        <v>28844.444439999999</v>
      </c>
      <c r="C8" s="14">
        <v>5.67</v>
      </c>
      <c r="D8" s="14">
        <v>25</v>
      </c>
    </row>
    <row r="9" spans="1:4" x14ac:dyDescent="0.15">
      <c r="A9">
        <v>2</v>
      </c>
      <c r="B9" s="60">
        <v>41644.444439999999</v>
      </c>
      <c r="C9" s="14">
        <v>3.53</v>
      </c>
      <c r="D9" s="14">
        <v>18</v>
      </c>
    </row>
    <row r="10" spans="1:4" x14ac:dyDescent="0.15">
      <c r="A10">
        <v>2</v>
      </c>
      <c r="B10" s="60"/>
      <c r="C10" s="14">
        <v>2.5</v>
      </c>
      <c r="D10" s="14">
        <v>12</v>
      </c>
    </row>
    <row r="11" spans="1:4" x14ac:dyDescent="0.15">
      <c r="A11">
        <v>2</v>
      </c>
      <c r="B11" s="14">
        <v>26800</v>
      </c>
      <c r="C11" s="14">
        <v>1.92</v>
      </c>
      <c r="D11" s="14">
        <v>15</v>
      </c>
    </row>
    <row r="12" spans="1:4" x14ac:dyDescent="0.15">
      <c r="A12">
        <v>2</v>
      </c>
      <c r="B12" s="14">
        <v>18711.111110000002</v>
      </c>
      <c r="C12" s="14">
        <v>5.14</v>
      </c>
      <c r="D12" s="14">
        <v>30</v>
      </c>
    </row>
    <row r="13" spans="1:4" x14ac:dyDescent="0.15">
      <c r="A13">
        <v>2</v>
      </c>
      <c r="B13" s="14">
        <v>2088.8888889999998</v>
      </c>
      <c r="C13" s="14">
        <v>0.56000000000000005</v>
      </c>
      <c r="D13" s="14">
        <v>7</v>
      </c>
    </row>
    <row r="14" spans="1:4" x14ac:dyDescent="0.15">
      <c r="A14">
        <v>2</v>
      </c>
      <c r="B14" s="14">
        <v>11200</v>
      </c>
      <c r="C14" s="14">
        <v>4.87</v>
      </c>
      <c r="D14" s="14">
        <v>10</v>
      </c>
    </row>
    <row r="15" spans="1:4" x14ac:dyDescent="0.15">
      <c r="A15">
        <v>2</v>
      </c>
      <c r="B15" s="14">
        <v>23022.22222</v>
      </c>
      <c r="C15" s="14">
        <v>4</v>
      </c>
      <c r="D15" s="14">
        <v>25</v>
      </c>
    </row>
    <row r="16" spans="1:4" x14ac:dyDescent="0.15">
      <c r="A16">
        <v>2</v>
      </c>
      <c r="B16" s="20">
        <v>12488.88889</v>
      </c>
      <c r="C16" s="61"/>
      <c r="D16" s="20">
        <v>30</v>
      </c>
    </row>
    <row r="17" spans="1:4" x14ac:dyDescent="0.15">
      <c r="A17">
        <v>3</v>
      </c>
      <c r="B17" s="14">
        <v>4311.1111110000002</v>
      </c>
      <c r="C17" s="14">
        <v>1.1599999999999999</v>
      </c>
      <c r="D17" s="14">
        <v>25</v>
      </c>
    </row>
    <row r="18" spans="1:4" x14ac:dyDescent="0.15">
      <c r="A18">
        <v>3</v>
      </c>
      <c r="B18" s="14">
        <v>3600</v>
      </c>
      <c r="C18" s="14">
        <v>0.99</v>
      </c>
      <c r="D18" s="14">
        <v>5</v>
      </c>
    </row>
    <row r="19" spans="1:4" x14ac:dyDescent="0.15">
      <c r="A19">
        <v>3</v>
      </c>
      <c r="B19" s="14">
        <v>6800</v>
      </c>
      <c r="C19" s="14">
        <v>1.51</v>
      </c>
      <c r="D19" s="14">
        <v>10</v>
      </c>
    </row>
    <row r="20" spans="1:4" x14ac:dyDescent="0.15">
      <c r="A20">
        <v>3</v>
      </c>
      <c r="B20" s="14">
        <v>2533.333333</v>
      </c>
      <c r="C20" s="14">
        <v>0.41</v>
      </c>
      <c r="D20" s="14">
        <v>30</v>
      </c>
    </row>
    <row r="21" spans="1:4" x14ac:dyDescent="0.15">
      <c r="A21">
        <v>3</v>
      </c>
      <c r="B21" s="14">
        <v>12844.444439999999</v>
      </c>
      <c r="C21" s="14">
        <v>1.64</v>
      </c>
      <c r="D21" s="14">
        <v>40</v>
      </c>
    </row>
    <row r="22" spans="1:4" x14ac:dyDescent="0.15">
      <c r="A22">
        <v>3</v>
      </c>
      <c r="B22" s="14">
        <v>13288.88889</v>
      </c>
      <c r="C22" s="60"/>
      <c r="D22" s="60"/>
    </row>
    <row r="23" spans="1:4" x14ac:dyDescent="0.15">
      <c r="A23">
        <v>3</v>
      </c>
      <c r="B23" s="14">
        <v>9244.4444440000007</v>
      </c>
      <c r="C23" s="14">
        <v>4.4400000000000004</v>
      </c>
      <c r="D23" s="14">
        <v>25</v>
      </c>
    </row>
    <row r="24" spans="1:4" x14ac:dyDescent="0.15">
      <c r="A24">
        <v>3</v>
      </c>
      <c r="B24" s="14">
        <v>7644.4444439999997</v>
      </c>
      <c r="C24" s="14">
        <v>6.01</v>
      </c>
      <c r="D24" s="14">
        <v>25</v>
      </c>
    </row>
    <row r="25" spans="1:4" x14ac:dyDescent="0.15">
      <c r="A25">
        <v>3</v>
      </c>
      <c r="B25" s="14">
        <v>6800</v>
      </c>
      <c r="C25" s="14">
        <v>2.1</v>
      </c>
      <c r="D25" s="14">
        <v>15</v>
      </c>
    </row>
    <row r="26" spans="1:4" x14ac:dyDescent="0.15">
      <c r="A26">
        <v>3</v>
      </c>
      <c r="B26" s="14">
        <v>8844.4444440000007</v>
      </c>
      <c r="C26" s="14">
        <v>2.78</v>
      </c>
      <c r="D26" s="14">
        <v>25</v>
      </c>
    </row>
    <row r="27" spans="1:4" x14ac:dyDescent="0.15">
      <c r="A27">
        <v>3</v>
      </c>
      <c r="B27" s="14">
        <v>3911.1111110000002</v>
      </c>
      <c r="C27" s="14">
        <v>5.14</v>
      </c>
      <c r="D27" s="14">
        <v>35</v>
      </c>
    </row>
    <row r="28" spans="1:4" x14ac:dyDescent="0.15">
      <c r="A28">
        <v>3</v>
      </c>
      <c r="B28" s="14">
        <v>1111.1111109999999</v>
      </c>
      <c r="C28" s="14">
        <v>0.49</v>
      </c>
      <c r="D28" s="14">
        <v>3</v>
      </c>
    </row>
    <row r="29" spans="1:4" x14ac:dyDescent="0.15">
      <c r="A29">
        <v>3</v>
      </c>
      <c r="B29" s="14">
        <v>2444.4444440000002</v>
      </c>
      <c r="C29" s="14">
        <v>0.33</v>
      </c>
      <c r="D29" s="14">
        <v>20</v>
      </c>
    </row>
    <row r="30" spans="1:4" x14ac:dyDescent="0.15">
      <c r="A30">
        <v>3</v>
      </c>
      <c r="B30" s="20">
        <v>7733.3333329999996</v>
      </c>
      <c r="C30" s="20">
        <v>1.1100000000000001</v>
      </c>
      <c r="D30" s="20">
        <v>45</v>
      </c>
    </row>
    <row r="31" spans="1:4" x14ac:dyDescent="0.15">
      <c r="A31">
        <v>7</v>
      </c>
      <c r="B31" s="22">
        <v>5777.7777779999997</v>
      </c>
      <c r="C31" s="22">
        <v>0.54</v>
      </c>
      <c r="D31" s="22">
        <v>7</v>
      </c>
    </row>
    <row r="32" spans="1:4" x14ac:dyDescent="0.15">
      <c r="A32">
        <v>7</v>
      </c>
      <c r="B32" s="14">
        <v>15377.77778</v>
      </c>
      <c r="C32" s="14">
        <v>2.5299999999999998</v>
      </c>
      <c r="D32" s="14">
        <v>38</v>
      </c>
    </row>
    <row r="33" spans="1:4" x14ac:dyDescent="0.15">
      <c r="A33">
        <v>7</v>
      </c>
      <c r="B33" s="14">
        <v>22222.22222</v>
      </c>
      <c r="C33" s="14">
        <v>2.6</v>
      </c>
      <c r="D33" s="14">
        <v>30</v>
      </c>
    </row>
    <row r="34" spans="1:4" x14ac:dyDescent="0.15">
      <c r="A34">
        <v>7</v>
      </c>
      <c r="B34" s="14">
        <v>6711.1111110000002</v>
      </c>
      <c r="C34" s="14">
        <v>0.98</v>
      </c>
      <c r="D34" s="14">
        <v>7</v>
      </c>
    </row>
    <row r="35" spans="1:4" x14ac:dyDescent="0.15">
      <c r="A35">
        <v>7</v>
      </c>
      <c r="B35" s="14">
        <v>29333.333330000001</v>
      </c>
      <c r="C35" s="14">
        <v>5.4</v>
      </c>
      <c r="D35" s="14">
        <v>7</v>
      </c>
    </row>
    <row r="36" spans="1:4" x14ac:dyDescent="0.15">
      <c r="A36">
        <v>7</v>
      </c>
      <c r="B36" s="14">
        <v>13333.333329999999</v>
      </c>
      <c r="C36" s="14">
        <v>3.2</v>
      </c>
      <c r="D36" s="14">
        <v>38</v>
      </c>
    </row>
    <row r="37" spans="1:4" x14ac:dyDescent="0.15">
      <c r="A37">
        <v>7</v>
      </c>
      <c r="B37" s="14">
        <v>7777.7777779999997</v>
      </c>
      <c r="C37" s="14">
        <v>0.69</v>
      </c>
      <c r="D37" s="14">
        <v>5</v>
      </c>
    </row>
    <row r="38" spans="1:4" x14ac:dyDescent="0.15">
      <c r="A38">
        <v>7</v>
      </c>
      <c r="B38" s="14">
        <v>5955.5555560000003</v>
      </c>
      <c r="C38" s="14">
        <v>0.72</v>
      </c>
      <c r="D38" s="14">
        <v>25</v>
      </c>
    </row>
    <row r="39" spans="1:4" x14ac:dyDescent="0.15">
      <c r="A39">
        <v>7</v>
      </c>
      <c r="B39" s="14">
        <v>14488.88889</v>
      </c>
      <c r="C39" s="14">
        <v>1.08</v>
      </c>
      <c r="D39" s="14">
        <v>17</v>
      </c>
    </row>
    <row r="40" spans="1:4" x14ac:dyDescent="0.15">
      <c r="A40">
        <v>7</v>
      </c>
      <c r="B40" s="14">
        <v>9600</v>
      </c>
      <c r="C40" s="14">
        <v>1.04</v>
      </c>
      <c r="D40" s="14">
        <v>25</v>
      </c>
    </row>
    <row r="41" spans="1:4" x14ac:dyDescent="0.15">
      <c r="A41">
        <v>7</v>
      </c>
      <c r="B41" s="14">
        <v>9155.5555559999993</v>
      </c>
      <c r="C41" s="14">
        <v>0.74</v>
      </c>
      <c r="D41" s="14">
        <v>3</v>
      </c>
    </row>
    <row r="42" spans="1:4" x14ac:dyDescent="0.15">
      <c r="A42">
        <v>7</v>
      </c>
      <c r="B42" s="14">
        <v>3600</v>
      </c>
      <c r="C42" s="14">
        <v>3.21</v>
      </c>
      <c r="D42" s="14">
        <v>5</v>
      </c>
    </row>
    <row r="43" spans="1:4" x14ac:dyDescent="0.15">
      <c r="A43">
        <v>7</v>
      </c>
      <c r="B43" s="14">
        <v>9466.6666669999995</v>
      </c>
      <c r="C43" s="14">
        <v>0.43</v>
      </c>
      <c r="D43" s="14">
        <v>17</v>
      </c>
    </row>
    <row r="44" spans="1:4" x14ac:dyDescent="0.15">
      <c r="A44">
        <v>7</v>
      </c>
      <c r="B44" s="14">
        <v>2755.5555559999998</v>
      </c>
      <c r="C44" s="14">
        <v>0.54</v>
      </c>
      <c r="D44" s="14">
        <v>2</v>
      </c>
    </row>
    <row r="45" spans="1:4" x14ac:dyDescent="0.15">
      <c r="A45">
        <v>7</v>
      </c>
      <c r="B45" s="20">
        <v>7244.4444439999997</v>
      </c>
      <c r="C45" s="20">
        <v>1.1200000000000001</v>
      </c>
      <c r="D45" s="20">
        <v>1</v>
      </c>
    </row>
    <row r="46" spans="1:4" x14ac:dyDescent="0.15">
      <c r="B46" s="22"/>
      <c r="C46" s="22"/>
      <c r="D46" s="22"/>
    </row>
    <row r="47" spans="1:4" x14ac:dyDescent="0.15">
      <c r="B47" s="14"/>
      <c r="C47" s="14"/>
      <c r="D47" s="14"/>
    </row>
    <row r="48" spans="1:4" x14ac:dyDescent="0.15">
      <c r="B48" s="14"/>
      <c r="C48" s="14"/>
      <c r="D48" s="14"/>
    </row>
    <row r="49" spans="2:4" x14ac:dyDescent="0.15">
      <c r="B49" s="14"/>
      <c r="C49" s="14"/>
      <c r="D49" s="14"/>
    </row>
    <row r="50" spans="2:4" x14ac:dyDescent="0.15">
      <c r="B50" s="14"/>
      <c r="C50" s="14"/>
    </row>
    <row r="51" spans="2:4" x14ac:dyDescent="0.15">
      <c r="B51" s="14"/>
      <c r="C51" s="14"/>
      <c r="D51" s="14"/>
    </row>
    <row r="52" spans="2:4" x14ac:dyDescent="0.15">
      <c r="B52" s="14"/>
      <c r="C52" s="14"/>
      <c r="D52" s="14"/>
    </row>
    <row r="53" spans="2:4" x14ac:dyDescent="0.15">
      <c r="B53" s="14"/>
      <c r="C53" s="14"/>
      <c r="D53" s="14"/>
    </row>
    <row r="54" spans="2:4" x14ac:dyDescent="0.15">
      <c r="B54" s="14"/>
      <c r="C54" s="14"/>
      <c r="D54" s="14"/>
    </row>
    <row r="55" spans="2:4" x14ac:dyDescent="0.15">
      <c r="B55" s="14"/>
      <c r="C55" s="14"/>
      <c r="D55" s="14"/>
    </row>
    <row r="56" spans="2:4" x14ac:dyDescent="0.15">
      <c r="B56" s="14"/>
      <c r="C56" s="14"/>
      <c r="D56" s="14"/>
    </row>
    <row r="57" spans="2:4" x14ac:dyDescent="0.15">
      <c r="B57" s="22"/>
      <c r="C57" s="22"/>
      <c r="D57" s="22"/>
    </row>
    <row r="58" spans="2:4" x14ac:dyDescent="0.15">
      <c r="B58" s="14"/>
      <c r="C58" s="14"/>
      <c r="D58" s="14"/>
    </row>
    <row r="59" spans="2:4" x14ac:dyDescent="0.15">
      <c r="B59" s="14"/>
      <c r="C59" s="14"/>
      <c r="D59" s="14"/>
    </row>
    <row r="60" spans="2:4" x14ac:dyDescent="0.15">
      <c r="B60" s="14"/>
      <c r="C60" s="14"/>
      <c r="D60" s="14"/>
    </row>
    <row r="61" spans="2:4" x14ac:dyDescent="0.15">
      <c r="B61" s="14"/>
      <c r="C61" s="14"/>
      <c r="D61" s="14"/>
    </row>
    <row r="62" spans="2:4" x14ac:dyDescent="0.15">
      <c r="B62" s="14"/>
      <c r="C62" s="14"/>
      <c r="D62" s="14"/>
    </row>
    <row r="63" spans="2:4" x14ac:dyDescent="0.15">
      <c r="B63" s="14"/>
      <c r="C63" s="14"/>
      <c r="D63" s="14"/>
    </row>
    <row r="64" spans="2:4" x14ac:dyDescent="0.15">
      <c r="B64" s="14"/>
      <c r="C64" s="14"/>
      <c r="D64" s="14"/>
    </row>
    <row r="65" spans="2:4" x14ac:dyDescent="0.15">
      <c r="B65" s="14"/>
      <c r="C65" s="14"/>
      <c r="D65" s="14"/>
    </row>
    <row r="66" spans="2:4" x14ac:dyDescent="0.15">
      <c r="B66" s="20"/>
      <c r="C66" s="20"/>
      <c r="D66" s="20"/>
    </row>
    <row r="67" spans="2:4" x14ac:dyDescent="0.15">
      <c r="B67" s="14"/>
      <c r="C67" s="14"/>
      <c r="D67" s="14"/>
    </row>
    <row r="68" spans="2:4" x14ac:dyDescent="0.15">
      <c r="B68" s="14"/>
      <c r="C68" s="14"/>
      <c r="D68" s="14"/>
    </row>
    <row r="69" spans="2:4" x14ac:dyDescent="0.15">
      <c r="B69" s="60"/>
      <c r="C69" s="17"/>
      <c r="D69" s="14"/>
    </row>
    <row r="70" spans="2:4" x14ac:dyDescent="0.15">
      <c r="B70" s="14"/>
      <c r="C70" s="14"/>
      <c r="D70" s="14"/>
    </row>
    <row r="71" spans="2:4" x14ac:dyDescent="0.15">
      <c r="B71" s="60"/>
      <c r="C71" s="17"/>
      <c r="D71" s="14"/>
    </row>
    <row r="72" spans="2:4" x14ac:dyDescent="0.15">
      <c r="B72" s="14"/>
      <c r="C72" s="14"/>
      <c r="D72" s="14"/>
    </row>
    <row r="73" spans="2:4" x14ac:dyDescent="0.15">
      <c r="B73" s="14"/>
      <c r="C73" s="14"/>
      <c r="D73" s="14"/>
    </row>
    <row r="74" spans="2:4" x14ac:dyDescent="0.15">
      <c r="B74" s="17"/>
      <c r="C74" s="17"/>
      <c r="D74" s="14"/>
    </row>
    <row r="75" spans="2:4" x14ac:dyDescent="0.15">
      <c r="B75" s="17"/>
      <c r="C75" s="17"/>
      <c r="D75" s="14"/>
    </row>
    <row r="76" spans="2:4" x14ac:dyDescent="0.15">
      <c r="B76" s="17"/>
      <c r="C76" s="17"/>
      <c r="D76" s="14"/>
    </row>
    <row r="77" spans="2:4" x14ac:dyDescent="0.15">
      <c r="B77" s="14"/>
    </row>
    <row r="78" spans="2:4" x14ac:dyDescent="0.15">
      <c r="B78" s="14"/>
    </row>
    <row r="79" spans="2:4" x14ac:dyDescent="0.15">
      <c r="B79" s="14"/>
    </row>
    <row r="80" spans="2:4" x14ac:dyDescent="0.15">
      <c r="B80" s="14"/>
    </row>
    <row r="81" spans="2:2" x14ac:dyDescent="0.15">
      <c r="B81" s="14"/>
    </row>
    <row r="82" spans="2:2" x14ac:dyDescent="0.15">
      <c r="B82" s="14"/>
    </row>
    <row r="83" spans="2:2" x14ac:dyDescent="0.15">
      <c r="B83" s="14"/>
    </row>
    <row r="84" spans="2:2" x14ac:dyDescent="0.15">
      <c r="B84" s="14"/>
    </row>
    <row r="85" spans="2:2" x14ac:dyDescent="0.15">
      <c r="B85" s="14"/>
    </row>
    <row r="86" spans="2:2" x14ac:dyDescent="0.15">
      <c r="B86" s="14"/>
    </row>
    <row r="87" spans="2:2" x14ac:dyDescent="0.15">
      <c r="B87" s="14"/>
    </row>
    <row r="88" spans="2:2" x14ac:dyDescent="0.15">
      <c r="B88" s="14"/>
    </row>
    <row r="89" spans="2:2" x14ac:dyDescent="0.15">
      <c r="B89" s="14"/>
    </row>
    <row r="90" spans="2:2" x14ac:dyDescent="0.15">
      <c r="B90" s="14"/>
    </row>
    <row r="91" spans="2:2" x14ac:dyDescent="0.15">
      <c r="B91" s="14"/>
    </row>
    <row r="92" spans="2:2" x14ac:dyDescent="0.15">
      <c r="B92" s="14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E5CC3-9121-44D2-AFC4-21B4F4DFDEFA}">
  <dimension ref="A1:D92"/>
  <sheetViews>
    <sheetView workbookViewId="0">
      <selection activeCell="B77" sqref="B77"/>
    </sheetView>
  </sheetViews>
  <sheetFormatPr baseColWidth="10" defaultColWidth="11.5" defaultRowHeight="13" x14ac:dyDescent="0.15"/>
  <cols>
    <col min="2" max="2" width="18.1640625" customWidth="1"/>
    <col min="3" max="3" width="19.6640625" customWidth="1"/>
    <col min="4" max="4" width="15.1640625" customWidth="1"/>
  </cols>
  <sheetData>
    <row r="1" spans="1:4" x14ac:dyDescent="0.15">
      <c r="B1" t="s">
        <v>43</v>
      </c>
      <c r="C1" t="s">
        <v>44</v>
      </c>
      <c r="D1" t="s">
        <v>42</v>
      </c>
    </row>
    <row r="2" spans="1:4" x14ac:dyDescent="0.15">
      <c r="A2">
        <v>2</v>
      </c>
      <c r="B2" s="22">
        <v>15555.555560000001</v>
      </c>
      <c r="C2" s="22">
        <v>2.76</v>
      </c>
      <c r="D2" s="22">
        <v>18</v>
      </c>
    </row>
    <row r="3" spans="1:4" x14ac:dyDescent="0.15">
      <c r="A3">
        <v>2</v>
      </c>
      <c r="B3" s="14">
        <v>14266.666670000001</v>
      </c>
      <c r="C3" s="14">
        <v>1.71</v>
      </c>
      <c r="D3" s="14">
        <v>10</v>
      </c>
    </row>
    <row r="4" spans="1:4" x14ac:dyDescent="0.15">
      <c r="A4">
        <v>2</v>
      </c>
      <c r="B4" s="14">
        <v>19777.77778</v>
      </c>
      <c r="C4" s="14">
        <v>2.2200000000000002</v>
      </c>
      <c r="D4" s="14">
        <v>12</v>
      </c>
    </row>
    <row r="5" spans="1:4" x14ac:dyDescent="0.15">
      <c r="A5">
        <v>2</v>
      </c>
      <c r="B5" s="14">
        <v>24088.888889999998</v>
      </c>
      <c r="C5" s="60">
        <v>6.66</v>
      </c>
      <c r="D5" s="14">
        <v>17</v>
      </c>
    </row>
    <row r="6" spans="1:4" x14ac:dyDescent="0.15">
      <c r="A6">
        <v>2</v>
      </c>
      <c r="B6" s="14">
        <v>21777.77778</v>
      </c>
      <c r="C6" s="14">
        <v>1.71</v>
      </c>
      <c r="D6" s="14">
        <v>15</v>
      </c>
    </row>
    <row r="7" spans="1:4" x14ac:dyDescent="0.15">
      <c r="A7">
        <v>2</v>
      </c>
      <c r="B7" s="14">
        <v>20444.444439999999</v>
      </c>
      <c r="C7" s="14">
        <v>3.56</v>
      </c>
      <c r="D7" s="14">
        <v>20</v>
      </c>
    </row>
    <row r="8" spans="1:4" x14ac:dyDescent="0.15">
      <c r="A8">
        <v>2</v>
      </c>
      <c r="B8" s="14">
        <v>28844.444439999999</v>
      </c>
      <c r="C8" s="14">
        <v>5.67</v>
      </c>
      <c r="D8" s="14">
        <v>25</v>
      </c>
    </row>
    <row r="9" spans="1:4" x14ac:dyDescent="0.15">
      <c r="A9">
        <v>2</v>
      </c>
      <c r="B9" s="14">
        <v>41644.444439999999</v>
      </c>
      <c r="C9" s="14">
        <v>3.53</v>
      </c>
      <c r="D9" s="14">
        <v>18</v>
      </c>
    </row>
    <row r="10" spans="1:4" x14ac:dyDescent="0.15">
      <c r="A10">
        <v>2</v>
      </c>
      <c r="B10" s="60">
        <v>37200</v>
      </c>
      <c r="C10" s="14">
        <v>2.5</v>
      </c>
      <c r="D10" s="14">
        <v>12</v>
      </c>
    </row>
    <row r="11" spans="1:4" x14ac:dyDescent="0.15">
      <c r="A11">
        <v>2</v>
      </c>
      <c r="B11" s="14">
        <v>26800</v>
      </c>
      <c r="C11" s="14">
        <v>1.92</v>
      </c>
      <c r="D11" s="14">
        <v>15</v>
      </c>
    </row>
    <row r="12" spans="1:4" x14ac:dyDescent="0.15">
      <c r="A12">
        <v>2</v>
      </c>
      <c r="B12" s="14">
        <v>18711.111110000002</v>
      </c>
      <c r="C12" s="14">
        <v>5.14</v>
      </c>
      <c r="D12" s="14">
        <v>30</v>
      </c>
    </row>
    <row r="13" spans="1:4" x14ac:dyDescent="0.15">
      <c r="A13">
        <v>2</v>
      </c>
      <c r="B13" s="14">
        <v>2088.8888889999998</v>
      </c>
      <c r="C13" s="14">
        <v>0.56000000000000005</v>
      </c>
      <c r="D13" s="14">
        <v>7</v>
      </c>
    </row>
    <row r="14" spans="1:4" x14ac:dyDescent="0.15">
      <c r="A14">
        <v>2</v>
      </c>
      <c r="B14" s="14">
        <v>11200</v>
      </c>
      <c r="C14" s="14">
        <v>4.87</v>
      </c>
      <c r="D14" s="14">
        <v>10</v>
      </c>
    </row>
    <row r="15" spans="1:4" x14ac:dyDescent="0.15">
      <c r="A15">
        <v>2</v>
      </c>
      <c r="B15" s="14">
        <v>23022.22222</v>
      </c>
      <c r="C15" s="14">
        <v>4</v>
      </c>
      <c r="D15" s="14">
        <v>25</v>
      </c>
    </row>
    <row r="16" spans="1:4" x14ac:dyDescent="0.15">
      <c r="A16">
        <v>2</v>
      </c>
      <c r="B16" s="20">
        <v>12488.88889</v>
      </c>
      <c r="C16" s="61">
        <v>7.98</v>
      </c>
      <c r="D16" s="20">
        <v>30</v>
      </c>
    </row>
    <row r="17" spans="1:4" x14ac:dyDescent="0.15">
      <c r="A17">
        <v>3</v>
      </c>
      <c r="B17" s="14">
        <v>4311.1111110000002</v>
      </c>
      <c r="C17" s="14">
        <v>1.1599999999999999</v>
      </c>
      <c r="D17" s="14">
        <v>25</v>
      </c>
    </row>
    <row r="18" spans="1:4" x14ac:dyDescent="0.15">
      <c r="A18">
        <v>3</v>
      </c>
      <c r="B18" s="14">
        <v>3600</v>
      </c>
      <c r="C18" s="14">
        <v>0.99</v>
      </c>
      <c r="D18" s="14">
        <v>5</v>
      </c>
    </row>
    <row r="19" spans="1:4" x14ac:dyDescent="0.15">
      <c r="A19">
        <v>3</v>
      </c>
      <c r="B19" s="14">
        <v>6800</v>
      </c>
      <c r="C19" s="14">
        <v>1.51</v>
      </c>
      <c r="D19" s="14">
        <v>10</v>
      </c>
    </row>
    <row r="20" spans="1:4" x14ac:dyDescent="0.15">
      <c r="A20">
        <v>3</v>
      </c>
      <c r="B20" s="14">
        <v>2533.333333</v>
      </c>
      <c r="C20" s="14">
        <v>0.41</v>
      </c>
      <c r="D20" s="14">
        <v>30</v>
      </c>
    </row>
    <row r="21" spans="1:4" x14ac:dyDescent="0.15">
      <c r="A21">
        <v>3</v>
      </c>
      <c r="B21" s="14">
        <v>12844.444439999999</v>
      </c>
      <c r="C21" s="14">
        <v>1.64</v>
      </c>
      <c r="D21" s="14">
        <v>40</v>
      </c>
    </row>
    <row r="22" spans="1:4" x14ac:dyDescent="0.15">
      <c r="A22">
        <v>3</v>
      </c>
      <c r="B22" s="14">
        <v>13288.88889</v>
      </c>
      <c r="C22" s="60">
        <v>8.61</v>
      </c>
      <c r="D22" s="60">
        <v>70</v>
      </c>
    </row>
    <row r="23" spans="1:4" x14ac:dyDescent="0.15">
      <c r="A23">
        <v>3</v>
      </c>
      <c r="B23" s="14">
        <v>9244.4444440000007</v>
      </c>
      <c r="C23" s="14">
        <v>4.4400000000000004</v>
      </c>
      <c r="D23" s="14">
        <v>25</v>
      </c>
    </row>
    <row r="24" spans="1:4" x14ac:dyDescent="0.15">
      <c r="A24">
        <v>3</v>
      </c>
      <c r="B24" s="14">
        <v>7644.4444439999997</v>
      </c>
      <c r="C24" s="14">
        <v>6.01</v>
      </c>
      <c r="D24" s="14">
        <v>25</v>
      </c>
    </row>
    <row r="25" spans="1:4" x14ac:dyDescent="0.15">
      <c r="A25">
        <v>3</v>
      </c>
      <c r="B25" s="14">
        <v>6800</v>
      </c>
      <c r="C25" s="14">
        <v>2.1</v>
      </c>
      <c r="D25" s="14">
        <v>15</v>
      </c>
    </row>
    <row r="26" spans="1:4" x14ac:dyDescent="0.15">
      <c r="A26">
        <v>3</v>
      </c>
      <c r="B26" s="14">
        <v>8844.4444440000007</v>
      </c>
      <c r="C26" s="14">
        <v>2.78</v>
      </c>
      <c r="D26" s="14">
        <v>25</v>
      </c>
    </row>
    <row r="27" spans="1:4" x14ac:dyDescent="0.15">
      <c r="A27">
        <v>3</v>
      </c>
      <c r="B27" s="14">
        <v>3911.1111110000002</v>
      </c>
      <c r="C27" s="14">
        <v>5.14</v>
      </c>
      <c r="D27" s="14">
        <v>35</v>
      </c>
    </row>
    <row r="28" spans="1:4" x14ac:dyDescent="0.15">
      <c r="A28">
        <v>3</v>
      </c>
      <c r="B28" s="14">
        <v>1111.1111109999999</v>
      </c>
      <c r="C28" s="14">
        <v>0.49</v>
      </c>
      <c r="D28" s="14">
        <v>3</v>
      </c>
    </row>
    <row r="29" spans="1:4" x14ac:dyDescent="0.15">
      <c r="A29">
        <v>3</v>
      </c>
      <c r="B29" s="14">
        <v>2444.4444440000002</v>
      </c>
      <c r="C29" s="14">
        <v>0.33</v>
      </c>
      <c r="D29" s="14">
        <v>20</v>
      </c>
    </row>
    <row r="30" spans="1:4" x14ac:dyDescent="0.15">
      <c r="A30">
        <v>3</v>
      </c>
      <c r="B30" s="20">
        <v>7733.3333329999996</v>
      </c>
      <c r="C30" s="20">
        <v>1.1100000000000001</v>
      </c>
      <c r="D30" s="20">
        <v>45</v>
      </c>
    </row>
    <row r="31" spans="1:4" x14ac:dyDescent="0.15">
      <c r="A31">
        <v>7</v>
      </c>
      <c r="B31" s="22">
        <v>5777.7777779999997</v>
      </c>
      <c r="C31" s="22">
        <v>0.54</v>
      </c>
      <c r="D31" s="22">
        <v>7</v>
      </c>
    </row>
    <row r="32" spans="1:4" x14ac:dyDescent="0.15">
      <c r="A32">
        <v>7</v>
      </c>
      <c r="B32" s="14">
        <v>15377.77778</v>
      </c>
      <c r="C32" s="14">
        <v>2.5299999999999998</v>
      </c>
      <c r="D32" s="14">
        <v>38</v>
      </c>
    </row>
    <row r="33" spans="1:4" x14ac:dyDescent="0.15">
      <c r="A33">
        <v>7</v>
      </c>
      <c r="B33" s="14">
        <v>22222.22222</v>
      </c>
      <c r="C33" s="14">
        <v>2.6</v>
      </c>
      <c r="D33" s="14">
        <v>30</v>
      </c>
    </row>
    <row r="34" spans="1:4" x14ac:dyDescent="0.15">
      <c r="A34">
        <v>7</v>
      </c>
      <c r="B34" s="14">
        <v>6711.1111110000002</v>
      </c>
      <c r="C34" s="14">
        <v>0.98</v>
      </c>
      <c r="D34" s="14">
        <v>7</v>
      </c>
    </row>
    <row r="35" spans="1:4" x14ac:dyDescent="0.15">
      <c r="A35">
        <v>7</v>
      </c>
      <c r="B35" s="14">
        <v>29333.333330000001</v>
      </c>
      <c r="C35" s="14">
        <v>5.4</v>
      </c>
      <c r="D35" s="14">
        <v>7</v>
      </c>
    </row>
    <row r="36" spans="1:4" x14ac:dyDescent="0.15">
      <c r="A36">
        <v>7</v>
      </c>
      <c r="B36" s="14">
        <v>13333.333329999999</v>
      </c>
      <c r="C36" s="14">
        <v>3.2</v>
      </c>
      <c r="D36" s="14">
        <v>38</v>
      </c>
    </row>
    <row r="37" spans="1:4" x14ac:dyDescent="0.15">
      <c r="A37">
        <v>7</v>
      </c>
      <c r="B37" s="14">
        <v>7777.7777779999997</v>
      </c>
      <c r="C37" s="14">
        <v>0.69</v>
      </c>
      <c r="D37" s="14">
        <v>5</v>
      </c>
    </row>
    <row r="38" spans="1:4" x14ac:dyDescent="0.15">
      <c r="A38">
        <v>7</v>
      </c>
      <c r="B38" s="14">
        <v>5955.5555560000003</v>
      </c>
      <c r="C38" s="14">
        <v>0.72</v>
      </c>
      <c r="D38" s="14">
        <v>25</v>
      </c>
    </row>
    <row r="39" spans="1:4" x14ac:dyDescent="0.15">
      <c r="A39">
        <v>7</v>
      </c>
      <c r="B39" s="14">
        <v>14488.88889</v>
      </c>
      <c r="C39" s="14">
        <v>1.08</v>
      </c>
      <c r="D39" s="14">
        <v>17</v>
      </c>
    </row>
    <row r="40" spans="1:4" x14ac:dyDescent="0.15">
      <c r="A40">
        <v>7</v>
      </c>
      <c r="B40" s="14">
        <v>9600</v>
      </c>
      <c r="C40" s="14">
        <v>1.04</v>
      </c>
      <c r="D40" s="14">
        <v>25</v>
      </c>
    </row>
    <row r="41" spans="1:4" x14ac:dyDescent="0.15">
      <c r="A41">
        <v>7</v>
      </c>
      <c r="B41" s="14">
        <v>9155.5555559999993</v>
      </c>
      <c r="C41" s="14">
        <v>0.74</v>
      </c>
      <c r="D41" s="14">
        <v>3</v>
      </c>
    </row>
    <row r="42" spans="1:4" x14ac:dyDescent="0.15">
      <c r="A42">
        <v>7</v>
      </c>
      <c r="B42" s="14">
        <v>3600</v>
      </c>
      <c r="C42" s="14">
        <v>3.21</v>
      </c>
      <c r="D42" s="14">
        <v>5</v>
      </c>
    </row>
    <row r="43" spans="1:4" x14ac:dyDescent="0.15">
      <c r="A43">
        <v>7</v>
      </c>
      <c r="B43" s="14">
        <v>9466.6666669999995</v>
      </c>
      <c r="C43" s="14">
        <v>0.43</v>
      </c>
      <c r="D43" s="14">
        <v>17</v>
      </c>
    </row>
    <row r="44" spans="1:4" x14ac:dyDescent="0.15">
      <c r="A44">
        <v>7</v>
      </c>
      <c r="B44" s="14">
        <v>2755.5555559999998</v>
      </c>
      <c r="C44" s="14">
        <v>0.54</v>
      </c>
      <c r="D44" s="14">
        <v>2</v>
      </c>
    </row>
    <row r="45" spans="1:4" x14ac:dyDescent="0.15">
      <c r="A45">
        <v>7</v>
      </c>
      <c r="B45" s="20">
        <v>7244.4444439999997</v>
      </c>
      <c r="C45" s="20">
        <v>1.1200000000000001</v>
      </c>
      <c r="D45" s="20">
        <v>1</v>
      </c>
    </row>
    <row r="46" spans="1:4" x14ac:dyDescent="0.15">
      <c r="A46">
        <v>4</v>
      </c>
      <c r="B46" s="22">
        <v>8800</v>
      </c>
      <c r="C46" s="22">
        <v>1.61</v>
      </c>
      <c r="D46" s="22">
        <v>25</v>
      </c>
    </row>
    <row r="47" spans="1:4" x14ac:dyDescent="0.15">
      <c r="A47">
        <v>4</v>
      </c>
      <c r="B47" s="14">
        <v>2222.2222219999999</v>
      </c>
      <c r="C47" s="14">
        <v>1.72</v>
      </c>
      <c r="D47" s="14">
        <v>5</v>
      </c>
    </row>
    <row r="48" spans="1:4" x14ac:dyDescent="0.15">
      <c r="A48">
        <v>4</v>
      </c>
      <c r="B48" s="14">
        <v>933.33333330000005</v>
      </c>
      <c r="C48" s="14">
        <v>0.32</v>
      </c>
      <c r="D48" s="14">
        <v>2</v>
      </c>
    </row>
    <row r="49" spans="1:4" x14ac:dyDescent="0.15">
      <c r="A49">
        <v>4</v>
      </c>
      <c r="B49" s="14">
        <v>1422.2222220000001</v>
      </c>
      <c r="C49" s="14">
        <v>0.36</v>
      </c>
      <c r="D49" s="14">
        <v>2</v>
      </c>
    </row>
    <row r="50" spans="1:4" x14ac:dyDescent="0.15">
      <c r="A50">
        <v>4</v>
      </c>
      <c r="B50" s="14">
        <v>3555.5555559999998</v>
      </c>
      <c r="C50" s="14">
        <v>1.63</v>
      </c>
    </row>
    <row r="51" spans="1:4" x14ac:dyDescent="0.15">
      <c r="A51">
        <v>4</v>
      </c>
      <c r="B51" s="14">
        <v>11244.444439999999</v>
      </c>
      <c r="C51" s="14">
        <v>1.76</v>
      </c>
      <c r="D51" s="14">
        <v>17</v>
      </c>
    </row>
    <row r="52" spans="1:4" x14ac:dyDescent="0.15">
      <c r="A52">
        <v>4</v>
      </c>
      <c r="B52" s="14">
        <v>1066.666667</v>
      </c>
      <c r="C52" s="14">
        <v>0.31</v>
      </c>
      <c r="D52" s="14">
        <v>2</v>
      </c>
    </row>
    <row r="53" spans="1:4" x14ac:dyDescent="0.15">
      <c r="A53">
        <v>4</v>
      </c>
      <c r="B53" s="14">
        <v>4044.4444440000002</v>
      </c>
      <c r="C53" s="14">
        <v>1.62</v>
      </c>
      <c r="D53" s="14">
        <v>25</v>
      </c>
    </row>
    <row r="54" spans="1:4" x14ac:dyDescent="0.15">
      <c r="A54">
        <v>4</v>
      </c>
      <c r="B54" s="14">
        <v>533.33333330000005</v>
      </c>
      <c r="C54" s="14">
        <v>0.24</v>
      </c>
      <c r="D54" s="14">
        <v>2</v>
      </c>
    </row>
    <row r="55" spans="1:4" x14ac:dyDescent="0.15">
      <c r="A55">
        <v>4</v>
      </c>
      <c r="B55" s="14">
        <v>888.88888889999998</v>
      </c>
      <c r="C55" s="14">
        <v>0.09</v>
      </c>
      <c r="D55" s="14">
        <v>2</v>
      </c>
    </row>
    <row r="56" spans="1:4" x14ac:dyDescent="0.15">
      <c r="A56">
        <v>4</v>
      </c>
      <c r="B56" s="14">
        <v>666.66666669999995</v>
      </c>
      <c r="C56" s="14">
        <v>0.11</v>
      </c>
      <c r="D56" s="14">
        <v>2</v>
      </c>
    </row>
    <row r="57" spans="1:4" x14ac:dyDescent="0.15">
      <c r="A57">
        <v>5</v>
      </c>
      <c r="B57" s="22">
        <v>8311</v>
      </c>
      <c r="C57" s="22">
        <v>1.2</v>
      </c>
      <c r="D57" s="22">
        <v>10</v>
      </c>
    </row>
    <row r="58" spans="1:4" x14ac:dyDescent="0.15">
      <c r="A58">
        <v>5</v>
      </c>
      <c r="B58" s="14">
        <v>6444</v>
      </c>
      <c r="C58" s="14">
        <v>1.41</v>
      </c>
      <c r="D58" s="14">
        <v>5</v>
      </c>
    </row>
    <row r="59" spans="1:4" x14ac:dyDescent="0.15">
      <c r="A59">
        <v>5</v>
      </c>
      <c r="B59" s="14">
        <v>8978</v>
      </c>
      <c r="C59" s="14">
        <v>0.8</v>
      </c>
      <c r="D59" s="14">
        <v>3</v>
      </c>
    </row>
    <row r="60" spans="1:4" x14ac:dyDescent="0.15">
      <c r="A60">
        <v>5</v>
      </c>
      <c r="B60" s="14">
        <v>1289</v>
      </c>
      <c r="C60" s="14">
        <v>0.33</v>
      </c>
      <c r="D60" s="14">
        <v>1</v>
      </c>
    </row>
    <row r="61" spans="1:4" x14ac:dyDescent="0.15">
      <c r="A61">
        <v>5</v>
      </c>
      <c r="B61" s="14">
        <v>1956</v>
      </c>
      <c r="C61" s="14">
        <v>1.02</v>
      </c>
      <c r="D61" s="14">
        <v>1</v>
      </c>
    </row>
    <row r="62" spans="1:4" x14ac:dyDescent="0.15">
      <c r="A62">
        <v>5</v>
      </c>
      <c r="B62" s="14">
        <v>711</v>
      </c>
      <c r="C62" s="14">
        <v>0.69</v>
      </c>
      <c r="D62" s="14">
        <v>1</v>
      </c>
    </row>
    <row r="63" spans="1:4" x14ac:dyDescent="0.15">
      <c r="A63">
        <v>5</v>
      </c>
      <c r="B63" s="14">
        <v>1422</v>
      </c>
      <c r="C63" s="14"/>
      <c r="D63" s="14"/>
    </row>
    <row r="64" spans="1:4" x14ac:dyDescent="0.15">
      <c r="A64">
        <v>5</v>
      </c>
      <c r="B64" s="14">
        <v>2800</v>
      </c>
      <c r="C64" s="14">
        <v>7.0000000000000007E-2</v>
      </c>
      <c r="D64" s="14">
        <v>4</v>
      </c>
    </row>
    <row r="65" spans="1:4" x14ac:dyDescent="0.15">
      <c r="A65">
        <v>5</v>
      </c>
      <c r="B65" s="14">
        <v>1956</v>
      </c>
      <c r="C65" s="14">
        <v>0.48</v>
      </c>
      <c r="D65" s="14">
        <v>6</v>
      </c>
    </row>
    <row r="66" spans="1:4" x14ac:dyDescent="0.15">
      <c r="A66">
        <v>5</v>
      </c>
      <c r="B66" s="20">
        <v>2311</v>
      </c>
      <c r="C66" s="20">
        <v>0.61</v>
      </c>
      <c r="D66" s="20"/>
    </row>
    <row r="67" spans="1:4" x14ac:dyDescent="0.15">
      <c r="A67">
        <v>6</v>
      </c>
      <c r="B67" s="14">
        <v>3022.2222219999999</v>
      </c>
      <c r="C67" s="14">
        <v>0.54</v>
      </c>
      <c r="D67" s="14">
        <v>5</v>
      </c>
    </row>
    <row r="68" spans="1:4" x14ac:dyDescent="0.15">
      <c r="A68">
        <v>6</v>
      </c>
      <c r="B68" s="14">
        <v>1733.333333</v>
      </c>
      <c r="C68" s="14">
        <v>0.45</v>
      </c>
      <c r="D68" s="14">
        <v>5</v>
      </c>
    </row>
    <row r="69" spans="1:4" x14ac:dyDescent="0.15">
      <c r="A69">
        <v>6</v>
      </c>
      <c r="B69" s="60">
        <v>41111.111109999998</v>
      </c>
      <c r="C69" s="17">
        <v>2.1</v>
      </c>
      <c r="D69" s="14">
        <v>17</v>
      </c>
    </row>
    <row r="70" spans="1:4" x14ac:dyDescent="0.15">
      <c r="A70">
        <v>6</v>
      </c>
      <c r="B70" s="14">
        <v>3777.7777780000001</v>
      </c>
      <c r="C70" s="14">
        <v>0.47</v>
      </c>
      <c r="D70" s="14">
        <v>7</v>
      </c>
    </row>
    <row r="71" spans="1:4" x14ac:dyDescent="0.15">
      <c r="A71">
        <v>6</v>
      </c>
      <c r="B71" s="60">
        <v>80000</v>
      </c>
      <c r="C71" s="17">
        <v>3.1</v>
      </c>
      <c r="D71" s="14">
        <v>5</v>
      </c>
    </row>
    <row r="72" spans="1:4" x14ac:dyDescent="0.15">
      <c r="A72">
        <v>6</v>
      </c>
      <c r="B72" s="14">
        <v>17279.526539999999</v>
      </c>
      <c r="C72" s="14">
        <v>2.1295161290000002</v>
      </c>
      <c r="D72" s="14">
        <v>5</v>
      </c>
    </row>
    <row r="73" spans="1:4" x14ac:dyDescent="0.15">
      <c r="A73">
        <v>6</v>
      </c>
      <c r="B73" s="14">
        <v>7288.8888889999998</v>
      </c>
      <c r="C73" s="14">
        <v>1.97</v>
      </c>
      <c r="D73" s="14">
        <v>25</v>
      </c>
    </row>
    <row r="74" spans="1:4" x14ac:dyDescent="0.15">
      <c r="A74">
        <v>6</v>
      </c>
      <c r="B74" s="17">
        <v>17007.198520000002</v>
      </c>
      <c r="C74" s="17">
        <v>3.813894737</v>
      </c>
      <c r="D74" s="14">
        <v>5</v>
      </c>
    </row>
    <row r="75" spans="1:4" x14ac:dyDescent="0.15">
      <c r="A75">
        <v>6</v>
      </c>
      <c r="B75" s="17">
        <v>10076.02274</v>
      </c>
      <c r="C75" s="17">
        <v>2.491404255</v>
      </c>
      <c r="D75" s="14">
        <v>17</v>
      </c>
    </row>
    <row r="76" spans="1:4" x14ac:dyDescent="0.15">
      <c r="A76">
        <v>6</v>
      </c>
      <c r="B76" s="17">
        <v>19706.235629999999</v>
      </c>
      <c r="C76" s="17">
        <v>2.5630967739999999</v>
      </c>
      <c r="D76" s="14">
        <v>5</v>
      </c>
    </row>
    <row r="77" spans="1:4" x14ac:dyDescent="0.15">
      <c r="B77" s="14"/>
    </row>
    <row r="78" spans="1:4" x14ac:dyDescent="0.15">
      <c r="B78" s="14"/>
    </row>
    <row r="79" spans="1:4" x14ac:dyDescent="0.15">
      <c r="B79" s="14"/>
    </row>
    <row r="80" spans="1:4" x14ac:dyDescent="0.15">
      <c r="B80" s="14"/>
    </row>
    <row r="81" spans="2:2" x14ac:dyDescent="0.15">
      <c r="B81" s="14"/>
    </row>
    <row r="82" spans="2:2" x14ac:dyDescent="0.15">
      <c r="B82" s="14"/>
    </row>
    <row r="83" spans="2:2" x14ac:dyDescent="0.15">
      <c r="B83" s="14"/>
    </row>
    <row r="84" spans="2:2" x14ac:dyDescent="0.15">
      <c r="B84" s="14"/>
    </row>
    <row r="85" spans="2:2" x14ac:dyDescent="0.15">
      <c r="B85" s="14"/>
    </row>
    <row r="86" spans="2:2" x14ac:dyDescent="0.15">
      <c r="B86" s="14"/>
    </row>
    <row r="87" spans="2:2" x14ac:dyDescent="0.15">
      <c r="B87" s="14"/>
    </row>
    <row r="88" spans="2:2" x14ac:dyDescent="0.15">
      <c r="B88" s="14"/>
    </row>
    <row r="89" spans="2:2" x14ac:dyDescent="0.15">
      <c r="B89" s="14"/>
    </row>
    <row r="90" spans="2:2" x14ac:dyDescent="0.15">
      <c r="B90" s="14"/>
    </row>
    <row r="91" spans="2:2" x14ac:dyDescent="0.15">
      <c r="B91" s="14"/>
    </row>
    <row r="92" spans="2:2" x14ac:dyDescent="0.15">
      <c r="B92" s="14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71C85-0244-450B-9864-871AD3EDF360}">
  <dimension ref="A1:D53"/>
  <sheetViews>
    <sheetView topLeftCell="A27" workbookViewId="0">
      <selection activeCell="D61" sqref="D61"/>
    </sheetView>
  </sheetViews>
  <sheetFormatPr baseColWidth="10" defaultColWidth="11.5" defaultRowHeight="13" x14ac:dyDescent="0.15"/>
  <cols>
    <col min="2" max="2" width="20.6640625" customWidth="1"/>
    <col min="3" max="3" width="16.5" customWidth="1"/>
    <col min="4" max="4" width="19.83203125" customWidth="1"/>
  </cols>
  <sheetData>
    <row r="1" spans="1:4" x14ac:dyDescent="0.15">
      <c r="B1" t="s">
        <v>60</v>
      </c>
      <c r="C1" t="s">
        <v>61</v>
      </c>
      <c r="D1" t="s">
        <v>62</v>
      </c>
    </row>
    <row r="2" spans="1:4" x14ac:dyDescent="0.15">
      <c r="A2">
        <v>9</v>
      </c>
      <c r="B2" s="60">
        <v>50405.228759999998</v>
      </c>
      <c r="C2" s="60"/>
      <c r="D2" s="60"/>
    </row>
    <row r="3" spans="1:4" x14ac:dyDescent="0.15">
      <c r="A3">
        <v>9</v>
      </c>
      <c r="B3" s="60"/>
      <c r="C3" s="14">
        <v>5.71</v>
      </c>
      <c r="D3" s="14">
        <v>12</v>
      </c>
    </row>
    <row r="4" spans="1:4" x14ac:dyDescent="0.15">
      <c r="A4">
        <v>9</v>
      </c>
      <c r="B4" s="17">
        <v>33858.85886</v>
      </c>
      <c r="C4" s="60">
        <v>13.75</v>
      </c>
      <c r="D4" s="14">
        <v>25</v>
      </c>
    </row>
    <row r="5" spans="1:4" x14ac:dyDescent="0.15">
      <c r="A5">
        <v>9</v>
      </c>
      <c r="B5" s="17">
        <v>31511.111110000002</v>
      </c>
      <c r="C5" s="17">
        <v>7.09</v>
      </c>
      <c r="D5" s="14">
        <v>17</v>
      </c>
    </row>
    <row r="6" spans="1:4" x14ac:dyDescent="0.15">
      <c r="A6">
        <v>9</v>
      </c>
      <c r="B6" s="17">
        <v>46981.684979999998</v>
      </c>
      <c r="C6" s="17">
        <v>7.95</v>
      </c>
      <c r="D6" s="14">
        <v>20</v>
      </c>
    </row>
    <row r="7" spans="1:4" x14ac:dyDescent="0.15">
      <c r="A7">
        <v>9</v>
      </c>
      <c r="B7" s="17">
        <v>15824.24242</v>
      </c>
      <c r="C7" s="17">
        <v>3.73</v>
      </c>
      <c r="D7" s="14">
        <v>7</v>
      </c>
    </row>
    <row r="8" spans="1:4" x14ac:dyDescent="0.15">
      <c r="A8">
        <v>9</v>
      </c>
      <c r="B8" s="14">
        <v>16977.77778</v>
      </c>
      <c r="C8" s="14">
        <v>0.73</v>
      </c>
      <c r="D8" s="14">
        <v>2</v>
      </c>
    </row>
    <row r="9" spans="1:4" x14ac:dyDescent="0.15">
      <c r="A9">
        <v>9</v>
      </c>
      <c r="B9" s="17">
        <v>22266.666669999999</v>
      </c>
      <c r="C9" s="17">
        <v>6.68</v>
      </c>
      <c r="D9" s="14">
        <v>17</v>
      </c>
    </row>
    <row r="10" spans="1:4" x14ac:dyDescent="0.15">
      <c r="A10">
        <v>9</v>
      </c>
      <c r="B10" s="17">
        <v>8279.3650789999992</v>
      </c>
      <c r="C10" s="17">
        <v>1.63</v>
      </c>
      <c r="D10" s="14">
        <v>5</v>
      </c>
    </row>
    <row r="11" spans="1:4" x14ac:dyDescent="0.15">
      <c r="A11">
        <v>9</v>
      </c>
      <c r="B11" s="14">
        <v>17333.333330000001</v>
      </c>
      <c r="C11" s="14">
        <v>1.06</v>
      </c>
      <c r="D11" s="14">
        <v>5</v>
      </c>
    </row>
    <row r="12" spans="1:4" x14ac:dyDescent="0.15">
      <c r="A12">
        <v>9</v>
      </c>
      <c r="B12" s="14">
        <v>1644.444444</v>
      </c>
      <c r="C12" s="14">
        <v>0.08</v>
      </c>
      <c r="D12" s="14">
        <v>1</v>
      </c>
    </row>
    <row r="13" spans="1:4" x14ac:dyDescent="0.15">
      <c r="A13">
        <v>9</v>
      </c>
      <c r="B13" s="17">
        <v>52385.185189999997</v>
      </c>
      <c r="C13" s="17">
        <v>6.8</v>
      </c>
      <c r="D13" s="14">
        <v>17</v>
      </c>
    </row>
    <row r="14" spans="1:4" x14ac:dyDescent="0.15">
      <c r="A14">
        <v>9</v>
      </c>
      <c r="B14" s="34">
        <v>30344.827590000001</v>
      </c>
      <c r="C14" s="34">
        <v>5.5</v>
      </c>
      <c r="D14" s="20">
        <v>12</v>
      </c>
    </row>
    <row r="15" spans="1:4" x14ac:dyDescent="0.15">
      <c r="A15">
        <v>10</v>
      </c>
      <c r="D15" s="14">
        <v>25</v>
      </c>
    </row>
    <row r="16" spans="1:4" x14ac:dyDescent="0.15">
      <c r="A16">
        <v>10</v>
      </c>
      <c r="D16" s="14">
        <v>17</v>
      </c>
    </row>
    <row r="17" spans="1:4" x14ac:dyDescent="0.15">
      <c r="A17">
        <v>10</v>
      </c>
      <c r="B17" s="18">
        <v>28977.77778</v>
      </c>
      <c r="C17" s="18">
        <v>6.74</v>
      </c>
      <c r="D17" s="14">
        <v>38</v>
      </c>
    </row>
    <row r="18" spans="1:4" x14ac:dyDescent="0.15">
      <c r="A18">
        <v>10</v>
      </c>
      <c r="B18" s="14"/>
      <c r="D18" s="14">
        <v>17</v>
      </c>
    </row>
    <row r="19" spans="1:4" x14ac:dyDescent="0.15">
      <c r="A19">
        <v>10</v>
      </c>
      <c r="B19" s="18">
        <v>31466.666669999999</v>
      </c>
      <c r="C19" s="18">
        <v>5.05</v>
      </c>
      <c r="D19" s="14">
        <v>7</v>
      </c>
    </row>
    <row r="20" spans="1:4" x14ac:dyDescent="0.15">
      <c r="A20">
        <v>10</v>
      </c>
      <c r="B20" s="18">
        <v>59600</v>
      </c>
      <c r="C20" s="18">
        <v>6.58</v>
      </c>
      <c r="D20" s="14">
        <v>38</v>
      </c>
    </row>
    <row r="21" spans="1:4" x14ac:dyDescent="0.15">
      <c r="A21">
        <v>10</v>
      </c>
      <c r="B21" s="14"/>
      <c r="D21" s="14">
        <v>17</v>
      </c>
    </row>
    <row r="22" spans="1:4" x14ac:dyDescent="0.15">
      <c r="A22">
        <v>10</v>
      </c>
      <c r="B22" s="18">
        <v>43466.666669999999</v>
      </c>
      <c r="C22" s="18">
        <v>8.1</v>
      </c>
      <c r="D22" s="14">
        <v>25</v>
      </c>
    </row>
    <row r="23" spans="1:4" x14ac:dyDescent="0.15">
      <c r="A23">
        <v>10</v>
      </c>
      <c r="B23" s="16"/>
      <c r="C23" s="15"/>
      <c r="D23" s="14">
        <v>17</v>
      </c>
    </row>
    <row r="24" spans="1:4" x14ac:dyDescent="0.15">
      <c r="A24">
        <v>10</v>
      </c>
      <c r="B24" s="16"/>
      <c r="C24" s="15"/>
      <c r="D24" s="14">
        <v>25</v>
      </c>
    </row>
    <row r="25" spans="1:4" x14ac:dyDescent="0.15">
      <c r="A25">
        <v>10</v>
      </c>
      <c r="B25" s="16"/>
      <c r="C25" s="15"/>
      <c r="D25" s="14">
        <v>17</v>
      </c>
    </row>
    <row r="26" spans="1:4" x14ac:dyDescent="0.15">
      <c r="A26">
        <v>10</v>
      </c>
      <c r="B26" s="16"/>
      <c r="C26" s="15"/>
      <c r="D26" s="14">
        <v>25</v>
      </c>
    </row>
    <row r="27" spans="1:4" x14ac:dyDescent="0.15">
      <c r="A27">
        <v>10</v>
      </c>
      <c r="B27" s="14">
        <v>25822.22222</v>
      </c>
      <c r="C27" s="17">
        <v>6.5238095238095237</v>
      </c>
      <c r="D27" s="14">
        <v>17</v>
      </c>
    </row>
    <row r="28" spans="1:4" x14ac:dyDescent="0.15">
      <c r="A28">
        <v>10</v>
      </c>
      <c r="B28" s="14"/>
      <c r="D28" s="14">
        <v>12</v>
      </c>
    </row>
    <row r="29" spans="1:4" x14ac:dyDescent="0.15">
      <c r="A29">
        <v>10</v>
      </c>
      <c r="B29" s="26">
        <v>12400</v>
      </c>
      <c r="C29" s="26">
        <v>1.57</v>
      </c>
      <c r="D29" s="20">
        <v>45</v>
      </c>
    </row>
    <row r="30" spans="1:4" x14ac:dyDescent="0.15">
      <c r="B30" s="22"/>
      <c r="C30" s="22"/>
      <c r="D30" s="22"/>
    </row>
    <row r="31" spans="1:4" x14ac:dyDescent="0.15">
      <c r="B31" s="17"/>
      <c r="C31" s="17"/>
      <c r="D31" s="14"/>
    </row>
    <row r="32" spans="1:4" x14ac:dyDescent="0.15">
      <c r="B32" s="17"/>
      <c r="C32" s="17"/>
      <c r="D32" s="14"/>
    </row>
    <row r="33" spans="1:4" x14ac:dyDescent="0.15">
      <c r="B33" s="17"/>
      <c r="C33" s="17"/>
      <c r="D33" s="14"/>
    </row>
    <row r="34" spans="1:4" x14ac:dyDescent="0.15">
      <c r="B34" s="17"/>
      <c r="C34" s="60"/>
      <c r="D34" s="14"/>
    </row>
    <row r="35" spans="1:4" x14ac:dyDescent="0.15">
      <c r="B35" s="14"/>
      <c r="C35" s="14"/>
      <c r="D35" s="14"/>
    </row>
    <row r="36" spans="1:4" x14ac:dyDescent="0.15">
      <c r="B36" s="14"/>
      <c r="C36" s="14"/>
      <c r="D36" s="14"/>
    </row>
    <row r="37" spans="1:4" x14ac:dyDescent="0.15">
      <c r="B37" s="17"/>
      <c r="C37" s="17"/>
      <c r="D37" s="14"/>
    </row>
    <row r="38" spans="1:4" x14ac:dyDescent="0.15">
      <c r="B38" s="17"/>
      <c r="C38" s="17"/>
      <c r="D38" s="14"/>
    </row>
    <row r="39" spans="1:4" x14ac:dyDescent="0.15">
      <c r="A39">
        <v>8</v>
      </c>
      <c r="B39" s="15"/>
      <c r="D39" s="14">
        <v>25</v>
      </c>
    </row>
    <row r="40" spans="1:4" x14ac:dyDescent="0.15">
      <c r="A40">
        <v>8</v>
      </c>
      <c r="B40" s="14">
        <v>29777.77778</v>
      </c>
      <c r="C40">
        <v>5.54</v>
      </c>
      <c r="D40" s="14">
        <v>22</v>
      </c>
    </row>
    <row r="41" spans="1:4" x14ac:dyDescent="0.15">
      <c r="A41">
        <v>8</v>
      </c>
      <c r="B41" s="60"/>
      <c r="C41" s="62"/>
      <c r="D41" s="14">
        <v>45</v>
      </c>
    </row>
    <row r="42" spans="1:4" x14ac:dyDescent="0.15">
      <c r="A42">
        <v>8</v>
      </c>
      <c r="B42" s="15"/>
      <c r="D42" s="14">
        <v>40</v>
      </c>
    </row>
    <row r="43" spans="1:4" x14ac:dyDescent="0.15">
      <c r="A43">
        <v>8</v>
      </c>
      <c r="B43" s="14">
        <v>15147.82609</v>
      </c>
      <c r="C43">
        <v>8.7100000000000009</v>
      </c>
      <c r="D43" s="14">
        <v>10</v>
      </c>
    </row>
    <row r="44" spans="1:4" x14ac:dyDescent="0.15">
      <c r="A44">
        <v>8</v>
      </c>
      <c r="B44" s="14">
        <v>28825.599999999999</v>
      </c>
      <c r="C44">
        <v>5.27</v>
      </c>
      <c r="D44" s="14">
        <v>15</v>
      </c>
    </row>
    <row r="45" spans="1:4" x14ac:dyDescent="0.15">
      <c r="A45">
        <v>8</v>
      </c>
      <c r="B45" s="15"/>
      <c r="D45" s="14">
        <v>15</v>
      </c>
    </row>
    <row r="46" spans="1:4" x14ac:dyDescent="0.15">
      <c r="A46">
        <v>8</v>
      </c>
      <c r="B46" s="14">
        <v>13600</v>
      </c>
      <c r="C46">
        <v>4.95</v>
      </c>
      <c r="D46" s="14">
        <v>22</v>
      </c>
    </row>
    <row r="47" spans="1:4" x14ac:dyDescent="0.15">
      <c r="A47">
        <v>8</v>
      </c>
      <c r="B47" s="14">
        <v>26757.26496</v>
      </c>
      <c r="C47">
        <v>7.58</v>
      </c>
      <c r="D47" s="14">
        <v>30</v>
      </c>
    </row>
    <row r="48" spans="1:4" x14ac:dyDescent="0.15">
      <c r="A48">
        <v>8</v>
      </c>
      <c r="B48" s="14">
        <v>29067.29264</v>
      </c>
      <c r="C48" s="62"/>
      <c r="D48" s="14">
        <v>25</v>
      </c>
    </row>
    <row r="49" spans="1:4" x14ac:dyDescent="0.15">
      <c r="A49">
        <v>8</v>
      </c>
      <c r="B49" s="15"/>
      <c r="D49" s="14">
        <v>5</v>
      </c>
    </row>
    <row r="50" spans="1:4" x14ac:dyDescent="0.15">
      <c r="A50">
        <v>8</v>
      </c>
      <c r="B50" s="15"/>
      <c r="D50" s="14">
        <v>22</v>
      </c>
    </row>
    <row r="51" spans="1:4" x14ac:dyDescent="0.15">
      <c r="A51">
        <v>8</v>
      </c>
      <c r="B51" s="15"/>
      <c r="D51" s="14">
        <v>6</v>
      </c>
    </row>
    <row r="52" spans="1:4" x14ac:dyDescent="0.15">
      <c r="A52">
        <v>8</v>
      </c>
      <c r="B52" s="15"/>
      <c r="D52" s="14">
        <v>5</v>
      </c>
    </row>
    <row r="53" spans="1:4" x14ac:dyDescent="0.15">
      <c r="A53">
        <v>8</v>
      </c>
      <c r="B53" s="19">
        <v>15200</v>
      </c>
      <c r="C53">
        <v>2.62</v>
      </c>
      <c r="D53" s="20">
        <v>7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51BD4-9D4F-4C63-B9F7-5C9A76F776F3}">
  <dimension ref="A1:D53"/>
  <sheetViews>
    <sheetView topLeftCell="A27" workbookViewId="0">
      <selection activeCell="H38" sqref="H38"/>
    </sheetView>
  </sheetViews>
  <sheetFormatPr baseColWidth="10" defaultColWidth="11.5" defaultRowHeight="13" x14ac:dyDescent="0.15"/>
  <cols>
    <col min="2" max="2" width="20.6640625" customWidth="1"/>
    <col min="3" max="3" width="16.5" customWidth="1"/>
    <col min="4" max="4" width="19.83203125" customWidth="1"/>
  </cols>
  <sheetData>
    <row r="1" spans="2:4" x14ac:dyDescent="0.15">
      <c r="B1" t="s">
        <v>60</v>
      </c>
      <c r="C1" t="s">
        <v>61</v>
      </c>
      <c r="D1" t="s">
        <v>62</v>
      </c>
    </row>
    <row r="2" spans="2:4" x14ac:dyDescent="0.15">
      <c r="B2" s="17"/>
      <c r="C2" s="60"/>
      <c r="D2" s="60"/>
    </row>
    <row r="3" spans="2:4" x14ac:dyDescent="0.15">
      <c r="B3" s="60"/>
      <c r="C3" s="14"/>
      <c r="D3" s="14"/>
    </row>
    <row r="4" spans="2:4" x14ac:dyDescent="0.15">
      <c r="B4" s="17"/>
      <c r="C4" s="17"/>
      <c r="D4" s="14"/>
    </row>
    <row r="5" spans="2:4" x14ac:dyDescent="0.15">
      <c r="B5" s="17"/>
      <c r="C5" s="17"/>
      <c r="D5" s="14"/>
    </row>
    <row r="6" spans="2:4" x14ac:dyDescent="0.15">
      <c r="B6" s="17"/>
      <c r="C6" s="17"/>
      <c r="D6" s="14"/>
    </row>
    <row r="7" spans="2:4" x14ac:dyDescent="0.15">
      <c r="B7" s="17"/>
      <c r="C7" s="17"/>
      <c r="D7" s="14"/>
    </row>
    <row r="8" spans="2:4" x14ac:dyDescent="0.15">
      <c r="B8" s="14"/>
      <c r="C8" s="14"/>
      <c r="D8" s="14"/>
    </row>
    <row r="9" spans="2:4" x14ac:dyDescent="0.15">
      <c r="B9" s="17"/>
      <c r="C9" s="17"/>
      <c r="D9" s="14"/>
    </row>
    <row r="10" spans="2:4" x14ac:dyDescent="0.15">
      <c r="B10" s="17"/>
      <c r="C10" s="17"/>
      <c r="D10" s="14"/>
    </row>
    <row r="11" spans="2:4" x14ac:dyDescent="0.15">
      <c r="B11" s="14"/>
      <c r="C11" s="14"/>
      <c r="D11" s="14"/>
    </row>
    <row r="12" spans="2:4" x14ac:dyDescent="0.15">
      <c r="B12" s="14"/>
      <c r="C12" s="14"/>
      <c r="D12" s="14"/>
    </row>
    <row r="13" spans="2:4" x14ac:dyDescent="0.15">
      <c r="B13" s="17"/>
      <c r="C13" s="17"/>
      <c r="D13" s="14"/>
    </row>
    <row r="14" spans="2:4" x14ac:dyDescent="0.15">
      <c r="B14" s="34"/>
      <c r="C14" s="34"/>
      <c r="D14" s="20"/>
    </row>
    <row r="15" spans="2:4" x14ac:dyDescent="0.15">
      <c r="D15" s="14"/>
    </row>
    <row r="16" spans="2:4" x14ac:dyDescent="0.15">
      <c r="D16" s="14"/>
    </row>
    <row r="17" spans="1:4" x14ac:dyDescent="0.15">
      <c r="B17" s="18"/>
      <c r="C17" s="18"/>
      <c r="D17" s="14"/>
    </row>
    <row r="18" spans="1:4" x14ac:dyDescent="0.15">
      <c r="B18" s="14"/>
      <c r="D18" s="14"/>
    </row>
    <row r="19" spans="1:4" x14ac:dyDescent="0.15">
      <c r="B19" s="18"/>
      <c r="C19" s="18"/>
      <c r="D19" s="14"/>
    </row>
    <row r="20" spans="1:4" x14ac:dyDescent="0.15">
      <c r="B20" s="18"/>
      <c r="C20" s="18"/>
      <c r="D20" s="14"/>
    </row>
    <row r="21" spans="1:4" x14ac:dyDescent="0.15">
      <c r="B21" s="14"/>
      <c r="D21" s="14"/>
    </row>
    <row r="22" spans="1:4" x14ac:dyDescent="0.15">
      <c r="B22" s="18"/>
      <c r="C22" s="18"/>
      <c r="D22" s="14"/>
    </row>
    <row r="23" spans="1:4" x14ac:dyDescent="0.15">
      <c r="B23" s="16"/>
      <c r="C23" s="15"/>
      <c r="D23" s="14"/>
    </row>
    <row r="24" spans="1:4" x14ac:dyDescent="0.15">
      <c r="B24" s="16"/>
      <c r="C24" s="15"/>
      <c r="D24" s="14"/>
    </row>
    <row r="25" spans="1:4" x14ac:dyDescent="0.15">
      <c r="B25" s="16"/>
      <c r="C25" s="15"/>
      <c r="D25" s="14"/>
    </row>
    <row r="26" spans="1:4" x14ac:dyDescent="0.15">
      <c r="B26" s="16"/>
      <c r="C26" s="15"/>
      <c r="D26" s="14"/>
    </row>
    <row r="27" spans="1:4" x14ac:dyDescent="0.15">
      <c r="B27" s="14"/>
      <c r="C27" s="17"/>
      <c r="D27" s="14"/>
    </row>
    <row r="28" spans="1:4" x14ac:dyDescent="0.15">
      <c r="B28" s="14"/>
      <c r="D28" s="14"/>
    </row>
    <row r="29" spans="1:4" x14ac:dyDescent="0.15">
      <c r="B29" s="26"/>
      <c r="C29" s="26"/>
      <c r="D29" s="20"/>
    </row>
    <row r="30" spans="1:4" x14ac:dyDescent="0.15">
      <c r="A30">
        <v>11</v>
      </c>
      <c r="B30" s="22">
        <v>2711.1111110000002</v>
      </c>
      <c r="C30" s="22">
        <v>0.71</v>
      </c>
      <c r="D30" s="22">
        <v>2</v>
      </c>
    </row>
    <row r="31" spans="1:4" x14ac:dyDescent="0.15">
      <c r="A31">
        <v>11</v>
      </c>
      <c r="B31" s="17">
        <v>3723.8095239999998</v>
      </c>
      <c r="C31" s="17">
        <v>1.1335714287090766</v>
      </c>
      <c r="D31" s="14">
        <v>15</v>
      </c>
    </row>
    <row r="32" spans="1:4" x14ac:dyDescent="0.15">
      <c r="A32">
        <v>11</v>
      </c>
      <c r="B32" s="17">
        <v>5872.9411760000003</v>
      </c>
      <c r="C32" s="17">
        <v>2.3400000003083292</v>
      </c>
      <c r="D32" s="14">
        <v>9</v>
      </c>
    </row>
    <row r="33" spans="1:4" x14ac:dyDescent="0.15">
      <c r="A33">
        <v>11</v>
      </c>
      <c r="B33" s="17">
        <v>24948.57143</v>
      </c>
      <c r="C33" s="17">
        <v>4.7571428573739185</v>
      </c>
      <c r="D33" s="14">
        <v>33</v>
      </c>
    </row>
    <row r="34" spans="1:4" x14ac:dyDescent="0.15">
      <c r="A34">
        <v>11</v>
      </c>
      <c r="B34" s="17">
        <v>26851.851849999999</v>
      </c>
      <c r="C34" s="60"/>
      <c r="D34" s="14">
        <v>19</v>
      </c>
    </row>
    <row r="35" spans="1:4" x14ac:dyDescent="0.15">
      <c r="A35">
        <v>11</v>
      </c>
      <c r="B35" s="14">
        <v>14088.88889</v>
      </c>
      <c r="C35" s="14">
        <v>5</v>
      </c>
      <c r="D35" s="14">
        <v>17</v>
      </c>
    </row>
    <row r="36" spans="1:4" x14ac:dyDescent="0.15">
      <c r="A36">
        <v>11</v>
      </c>
      <c r="B36" s="14">
        <v>24044.444439999999</v>
      </c>
      <c r="C36" s="14">
        <v>6</v>
      </c>
      <c r="D36" s="14">
        <v>29</v>
      </c>
    </row>
    <row r="37" spans="1:4" x14ac:dyDescent="0.15">
      <c r="A37">
        <v>11</v>
      </c>
      <c r="B37" s="17">
        <v>33333.333330000001</v>
      </c>
      <c r="C37" s="17">
        <v>8.6999999999999993</v>
      </c>
      <c r="D37" s="14">
        <v>25</v>
      </c>
    </row>
    <row r="38" spans="1:4" x14ac:dyDescent="0.15">
      <c r="A38">
        <v>11</v>
      </c>
      <c r="B38" s="17">
        <v>12622.22222</v>
      </c>
      <c r="C38" s="17">
        <v>7.3028571425441626</v>
      </c>
      <c r="D38" s="14">
        <v>25</v>
      </c>
    </row>
    <row r="39" spans="1:4" x14ac:dyDescent="0.15">
      <c r="B39" s="15"/>
      <c r="D39" s="14"/>
    </row>
    <row r="40" spans="1:4" x14ac:dyDescent="0.15">
      <c r="B40" s="14"/>
      <c r="D40" s="14"/>
    </row>
    <row r="41" spans="1:4" x14ac:dyDescent="0.15">
      <c r="B41" s="60"/>
      <c r="C41" s="62"/>
      <c r="D41" s="14"/>
    </row>
    <row r="42" spans="1:4" x14ac:dyDescent="0.15">
      <c r="B42" s="15"/>
      <c r="D42" s="14"/>
    </row>
    <row r="43" spans="1:4" x14ac:dyDescent="0.15">
      <c r="B43" s="14"/>
      <c r="D43" s="14"/>
    </row>
    <row r="44" spans="1:4" x14ac:dyDescent="0.15">
      <c r="B44" s="14"/>
      <c r="D44" s="14"/>
    </row>
    <row r="45" spans="1:4" x14ac:dyDescent="0.15">
      <c r="B45" s="15"/>
      <c r="D45" s="14"/>
    </row>
    <row r="46" spans="1:4" x14ac:dyDescent="0.15">
      <c r="B46" s="14"/>
      <c r="D46" s="14"/>
    </row>
    <row r="47" spans="1:4" x14ac:dyDescent="0.15">
      <c r="B47" s="14"/>
      <c r="D47" s="14"/>
    </row>
    <row r="48" spans="1:4" x14ac:dyDescent="0.15">
      <c r="B48" s="14"/>
      <c r="C48" s="62"/>
      <c r="D48" s="14"/>
    </row>
    <row r="49" spans="2:4" x14ac:dyDescent="0.15">
      <c r="B49" s="15"/>
      <c r="D49" s="14"/>
    </row>
    <row r="50" spans="2:4" x14ac:dyDescent="0.15">
      <c r="B50" s="15"/>
      <c r="D50" s="14"/>
    </row>
    <row r="51" spans="2:4" x14ac:dyDescent="0.15">
      <c r="B51" s="15"/>
      <c r="D51" s="14"/>
    </row>
    <row r="52" spans="2:4" x14ac:dyDescent="0.15">
      <c r="B52" s="15"/>
      <c r="D52" s="14"/>
    </row>
    <row r="53" spans="2:4" x14ac:dyDescent="0.15">
      <c r="B53" s="19"/>
      <c r="D53" s="20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42C6A-41BC-4C6F-8073-4B32F5E088D4}">
  <dimension ref="A1:D53"/>
  <sheetViews>
    <sheetView topLeftCell="A29" workbookViewId="0">
      <selection sqref="A1:D53"/>
    </sheetView>
  </sheetViews>
  <sheetFormatPr baseColWidth="10" defaultColWidth="11.5" defaultRowHeight="13" x14ac:dyDescent="0.15"/>
  <cols>
    <col min="2" max="2" width="20.6640625" customWidth="1"/>
    <col min="3" max="3" width="16.5" customWidth="1"/>
    <col min="4" max="4" width="19.83203125" customWidth="1"/>
  </cols>
  <sheetData>
    <row r="1" spans="1:4" x14ac:dyDescent="0.15">
      <c r="B1" t="s">
        <v>60</v>
      </c>
      <c r="C1" t="s">
        <v>61</v>
      </c>
      <c r="D1" t="s">
        <v>62</v>
      </c>
    </row>
    <row r="2" spans="1:4" x14ac:dyDescent="0.15">
      <c r="A2">
        <v>9</v>
      </c>
      <c r="B2" s="17">
        <v>50405.228759999998</v>
      </c>
      <c r="C2" s="60">
        <v>19.28</v>
      </c>
      <c r="D2" s="60">
        <v>60</v>
      </c>
    </row>
    <row r="3" spans="1:4" x14ac:dyDescent="0.15">
      <c r="A3">
        <v>9</v>
      </c>
      <c r="B3" s="60">
        <v>64933.333330000001</v>
      </c>
      <c r="C3" s="14">
        <v>5.71</v>
      </c>
      <c r="D3" s="14">
        <v>12</v>
      </c>
    </row>
    <row r="4" spans="1:4" x14ac:dyDescent="0.15">
      <c r="A4">
        <v>9</v>
      </c>
      <c r="B4" s="17">
        <v>33858.85886</v>
      </c>
      <c r="C4" s="17">
        <v>13.75</v>
      </c>
      <c r="D4" s="14">
        <v>25</v>
      </c>
    </row>
    <row r="5" spans="1:4" x14ac:dyDescent="0.15">
      <c r="A5">
        <v>9</v>
      </c>
      <c r="B5" s="17">
        <v>31511.111110000002</v>
      </c>
      <c r="C5" s="17">
        <v>7.09</v>
      </c>
      <c r="D5" s="14">
        <v>17</v>
      </c>
    </row>
    <row r="6" spans="1:4" x14ac:dyDescent="0.15">
      <c r="A6">
        <v>9</v>
      </c>
      <c r="B6" s="17">
        <v>46981.684979999998</v>
      </c>
      <c r="C6" s="17">
        <v>7.95</v>
      </c>
      <c r="D6" s="14">
        <v>20</v>
      </c>
    </row>
    <row r="7" spans="1:4" x14ac:dyDescent="0.15">
      <c r="A7">
        <v>9</v>
      </c>
      <c r="B7" s="17">
        <v>15824.24242</v>
      </c>
      <c r="C7" s="17">
        <v>3.73</v>
      </c>
      <c r="D7" s="14">
        <v>7</v>
      </c>
    </row>
    <row r="8" spans="1:4" x14ac:dyDescent="0.15">
      <c r="A8">
        <v>9</v>
      </c>
      <c r="B8" s="14">
        <v>16977.77778</v>
      </c>
      <c r="C8" s="14">
        <v>0.73</v>
      </c>
      <c r="D8" s="14">
        <v>2</v>
      </c>
    </row>
    <row r="9" spans="1:4" x14ac:dyDescent="0.15">
      <c r="A9">
        <v>9</v>
      </c>
      <c r="B9" s="17">
        <v>22266.666669999999</v>
      </c>
      <c r="C9" s="17">
        <v>6.68</v>
      </c>
      <c r="D9" s="14">
        <v>17</v>
      </c>
    </row>
    <row r="10" spans="1:4" x14ac:dyDescent="0.15">
      <c r="A10">
        <v>9</v>
      </c>
      <c r="B10" s="17">
        <v>8279.3650789999992</v>
      </c>
      <c r="C10" s="17">
        <v>1.63</v>
      </c>
      <c r="D10" s="14">
        <v>5</v>
      </c>
    </row>
    <row r="11" spans="1:4" x14ac:dyDescent="0.15">
      <c r="A11">
        <v>9</v>
      </c>
      <c r="B11" s="14">
        <v>17333.333330000001</v>
      </c>
      <c r="C11" s="14">
        <v>1.06</v>
      </c>
      <c r="D11" s="14">
        <v>5</v>
      </c>
    </row>
    <row r="12" spans="1:4" x14ac:dyDescent="0.15">
      <c r="A12">
        <v>9</v>
      </c>
      <c r="B12" s="14">
        <v>1644.444444</v>
      </c>
      <c r="C12" s="14">
        <v>0.08</v>
      </c>
      <c r="D12" s="14">
        <v>1</v>
      </c>
    </row>
    <row r="13" spans="1:4" x14ac:dyDescent="0.15">
      <c r="A13">
        <v>9</v>
      </c>
      <c r="B13" s="17">
        <v>52385.185189999997</v>
      </c>
      <c r="C13" s="17">
        <v>6.8</v>
      </c>
      <c r="D13" s="14">
        <v>17</v>
      </c>
    </row>
    <row r="14" spans="1:4" x14ac:dyDescent="0.15">
      <c r="A14">
        <v>9</v>
      </c>
      <c r="B14" s="34">
        <v>30344.827590000001</v>
      </c>
      <c r="C14" s="34">
        <v>5.5</v>
      </c>
      <c r="D14" s="20">
        <v>12</v>
      </c>
    </row>
    <row r="15" spans="1:4" x14ac:dyDescent="0.15">
      <c r="A15">
        <v>10</v>
      </c>
      <c r="D15" s="14">
        <v>25</v>
      </c>
    </row>
    <row r="16" spans="1:4" x14ac:dyDescent="0.15">
      <c r="A16">
        <v>10</v>
      </c>
      <c r="D16" s="14">
        <v>17</v>
      </c>
    </row>
    <row r="17" spans="1:4" x14ac:dyDescent="0.15">
      <c r="A17">
        <v>10</v>
      </c>
      <c r="B17" s="18">
        <v>28977.77778</v>
      </c>
      <c r="C17" s="18">
        <v>6.74</v>
      </c>
      <c r="D17" s="14">
        <v>38</v>
      </c>
    </row>
    <row r="18" spans="1:4" x14ac:dyDescent="0.15">
      <c r="A18">
        <v>10</v>
      </c>
      <c r="B18" s="14"/>
      <c r="D18" s="14">
        <v>17</v>
      </c>
    </row>
    <row r="19" spans="1:4" x14ac:dyDescent="0.15">
      <c r="A19">
        <v>10</v>
      </c>
      <c r="B19" s="18">
        <v>31466.666669999999</v>
      </c>
      <c r="C19" s="18">
        <v>5.05</v>
      </c>
      <c r="D19" s="14">
        <v>7</v>
      </c>
    </row>
    <row r="20" spans="1:4" x14ac:dyDescent="0.15">
      <c r="A20">
        <v>10</v>
      </c>
      <c r="B20" s="18">
        <v>59600</v>
      </c>
      <c r="C20" s="18">
        <v>6.58</v>
      </c>
      <c r="D20" s="14">
        <v>38</v>
      </c>
    </row>
    <row r="21" spans="1:4" x14ac:dyDescent="0.15">
      <c r="A21">
        <v>10</v>
      </c>
      <c r="B21" s="14"/>
      <c r="D21" s="14">
        <v>17</v>
      </c>
    </row>
    <row r="22" spans="1:4" x14ac:dyDescent="0.15">
      <c r="A22">
        <v>10</v>
      </c>
      <c r="B22" s="18">
        <v>43466.666669999999</v>
      </c>
      <c r="C22" s="18">
        <v>8.1</v>
      </c>
      <c r="D22" s="14">
        <v>25</v>
      </c>
    </row>
    <row r="23" spans="1:4" x14ac:dyDescent="0.15">
      <c r="A23">
        <v>10</v>
      </c>
      <c r="B23" s="16"/>
      <c r="C23" s="15"/>
      <c r="D23" s="14">
        <v>17</v>
      </c>
    </row>
    <row r="24" spans="1:4" x14ac:dyDescent="0.15">
      <c r="A24">
        <v>10</v>
      </c>
      <c r="B24" s="16"/>
      <c r="C24" s="15"/>
      <c r="D24" s="14">
        <v>25</v>
      </c>
    </row>
    <row r="25" spans="1:4" x14ac:dyDescent="0.15">
      <c r="A25">
        <v>10</v>
      </c>
      <c r="B25" s="16"/>
      <c r="C25" s="15"/>
      <c r="D25" s="14">
        <v>17</v>
      </c>
    </row>
    <row r="26" spans="1:4" x14ac:dyDescent="0.15">
      <c r="A26">
        <v>10</v>
      </c>
      <c r="B26" s="16"/>
      <c r="C26" s="15"/>
      <c r="D26" s="14">
        <v>25</v>
      </c>
    </row>
    <row r="27" spans="1:4" x14ac:dyDescent="0.15">
      <c r="A27">
        <v>10</v>
      </c>
      <c r="B27" s="14">
        <v>25822.22222</v>
      </c>
      <c r="C27" s="17">
        <v>6.5238095238095237</v>
      </c>
      <c r="D27" s="14">
        <v>17</v>
      </c>
    </row>
    <row r="28" spans="1:4" x14ac:dyDescent="0.15">
      <c r="A28">
        <v>10</v>
      </c>
      <c r="B28" s="14"/>
      <c r="D28" s="14">
        <v>12</v>
      </c>
    </row>
    <row r="29" spans="1:4" x14ac:dyDescent="0.15">
      <c r="A29">
        <v>10</v>
      </c>
      <c r="B29" s="26">
        <v>12400</v>
      </c>
      <c r="C29" s="26">
        <v>1.57</v>
      </c>
      <c r="D29" s="20">
        <v>45</v>
      </c>
    </row>
    <row r="30" spans="1:4" x14ac:dyDescent="0.15">
      <c r="A30">
        <v>11</v>
      </c>
      <c r="B30" s="22">
        <v>2711.1111110000002</v>
      </c>
      <c r="C30" s="22">
        <v>0.71</v>
      </c>
      <c r="D30" s="22">
        <v>2</v>
      </c>
    </row>
    <row r="31" spans="1:4" x14ac:dyDescent="0.15">
      <c r="A31">
        <v>11</v>
      </c>
      <c r="B31" s="17">
        <v>3723.8095239999998</v>
      </c>
      <c r="C31" s="17">
        <v>1.1335714287090766</v>
      </c>
      <c r="D31" s="14">
        <v>15</v>
      </c>
    </row>
    <row r="32" spans="1:4" x14ac:dyDescent="0.15">
      <c r="A32">
        <v>11</v>
      </c>
      <c r="B32" s="17">
        <v>5872.9411760000003</v>
      </c>
      <c r="C32" s="17">
        <v>2.3400000003083292</v>
      </c>
      <c r="D32" s="14">
        <v>9</v>
      </c>
    </row>
    <row r="33" spans="1:4" x14ac:dyDescent="0.15">
      <c r="A33">
        <v>11</v>
      </c>
      <c r="B33" s="17">
        <v>24948.57143</v>
      </c>
      <c r="C33" s="17">
        <v>4.7571428573739185</v>
      </c>
      <c r="D33" s="14">
        <v>33</v>
      </c>
    </row>
    <row r="34" spans="1:4" x14ac:dyDescent="0.15">
      <c r="A34">
        <v>11</v>
      </c>
      <c r="B34" s="17">
        <v>26851.851849999999</v>
      </c>
      <c r="C34" s="60">
        <v>46.319444443318631</v>
      </c>
      <c r="D34" s="14">
        <v>19</v>
      </c>
    </row>
    <row r="35" spans="1:4" x14ac:dyDescent="0.15">
      <c r="A35">
        <v>11</v>
      </c>
      <c r="B35" s="14">
        <v>14088.88889</v>
      </c>
      <c r="C35" s="14">
        <v>5</v>
      </c>
      <c r="D35" s="14">
        <v>17</v>
      </c>
    </row>
    <row r="36" spans="1:4" x14ac:dyDescent="0.15">
      <c r="A36">
        <v>11</v>
      </c>
      <c r="B36" s="14">
        <v>24044.444439999999</v>
      </c>
      <c r="C36" s="14">
        <v>6</v>
      </c>
      <c r="D36" s="14">
        <v>29</v>
      </c>
    </row>
    <row r="37" spans="1:4" x14ac:dyDescent="0.15">
      <c r="A37">
        <v>11</v>
      </c>
      <c r="B37" s="17">
        <v>33333.333330000001</v>
      </c>
      <c r="C37" s="17">
        <v>8.6999999999999993</v>
      </c>
      <c r="D37" s="14">
        <v>25</v>
      </c>
    </row>
    <row r="38" spans="1:4" x14ac:dyDescent="0.15">
      <c r="A38">
        <v>11</v>
      </c>
      <c r="B38" s="17">
        <v>12622.22222</v>
      </c>
      <c r="C38" s="17">
        <v>7.3028571425441626</v>
      </c>
      <c r="D38" s="14">
        <v>25</v>
      </c>
    </row>
    <row r="39" spans="1:4" x14ac:dyDescent="0.15">
      <c r="A39">
        <v>8</v>
      </c>
      <c r="B39" s="15"/>
      <c r="D39" s="14">
        <v>25</v>
      </c>
    </row>
    <row r="40" spans="1:4" x14ac:dyDescent="0.15">
      <c r="A40">
        <v>8</v>
      </c>
      <c r="B40" s="14">
        <v>29777.77778</v>
      </c>
      <c r="C40">
        <v>5.54</v>
      </c>
      <c r="D40" s="14">
        <v>22</v>
      </c>
    </row>
    <row r="41" spans="1:4" x14ac:dyDescent="0.15">
      <c r="A41">
        <v>8</v>
      </c>
      <c r="B41" s="60">
        <v>69752.484190000003</v>
      </c>
      <c r="C41" s="62">
        <v>18.170000000000002</v>
      </c>
      <c r="D41" s="14">
        <v>45</v>
      </c>
    </row>
    <row r="42" spans="1:4" x14ac:dyDescent="0.15">
      <c r="A42">
        <v>8</v>
      </c>
      <c r="B42" s="15"/>
      <c r="D42" s="14">
        <v>40</v>
      </c>
    </row>
    <row r="43" spans="1:4" x14ac:dyDescent="0.15">
      <c r="A43">
        <v>8</v>
      </c>
      <c r="B43" s="14">
        <v>15147.82609</v>
      </c>
      <c r="C43">
        <v>8.7100000000000009</v>
      </c>
      <c r="D43" s="14">
        <v>10</v>
      </c>
    </row>
    <row r="44" spans="1:4" x14ac:dyDescent="0.15">
      <c r="A44">
        <v>8</v>
      </c>
      <c r="B44" s="14">
        <v>28825.599999999999</v>
      </c>
      <c r="C44">
        <v>5.27</v>
      </c>
      <c r="D44" s="14">
        <v>15</v>
      </c>
    </row>
    <row r="45" spans="1:4" x14ac:dyDescent="0.15">
      <c r="A45">
        <v>8</v>
      </c>
      <c r="B45" s="15"/>
      <c r="D45" s="14">
        <v>15</v>
      </c>
    </row>
    <row r="46" spans="1:4" x14ac:dyDescent="0.15">
      <c r="A46">
        <v>8</v>
      </c>
      <c r="B46" s="14">
        <v>13600</v>
      </c>
      <c r="C46">
        <v>4.95</v>
      </c>
      <c r="D46" s="14">
        <v>22</v>
      </c>
    </row>
    <row r="47" spans="1:4" x14ac:dyDescent="0.15">
      <c r="A47">
        <v>8</v>
      </c>
      <c r="B47" s="14">
        <v>26757.26496</v>
      </c>
      <c r="C47">
        <v>7.58</v>
      </c>
      <c r="D47" s="14">
        <v>30</v>
      </c>
    </row>
    <row r="48" spans="1:4" x14ac:dyDescent="0.15">
      <c r="A48">
        <v>8</v>
      </c>
      <c r="B48" s="14">
        <v>29067.29264</v>
      </c>
      <c r="C48" s="62">
        <v>15.55</v>
      </c>
      <c r="D48" s="14">
        <v>25</v>
      </c>
    </row>
    <row r="49" spans="1:4" x14ac:dyDescent="0.15">
      <c r="A49">
        <v>8</v>
      </c>
      <c r="B49" s="15"/>
      <c r="D49" s="14">
        <v>5</v>
      </c>
    </row>
    <row r="50" spans="1:4" x14ac:dyDescent="0.15">
      <c r="A50">
        <v>8</v>
      </c>
      <c r="B50" s="15"/>
      <c r="D50" s="14">
        <v>22</v>
      </c>
    </row>
    <row r="51" spans="1:4" x14ac:dyDescent="0.15">
      <c r="A51">
        <v>8</v>
      </c>
      <c r="B51" s="15"/>
      <c r="D51" s="14">
        <v>6</v>
      </c>
    </row>
    <row r="52" spans="1:4" x14ac:dyDescent="0.15">
      <c r="A52">
        <v>8</v>
      </c>
      <c r="B52" s="15"/>
      <c r="D52" s="14">
        <v>5</v>
      </c>
    </row>
    <row r="53" spans="1:4" x14ac:dyDescent="0.15">
      <c r="A53">
        <v>8</v>
      </c>
      <c r="B53" s="19">
        <v>15200</v>
      </c>
      <c r="C53">
        <v>2.62</v>
      </c>
      <c r="D53" s="20">
        <v>7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E43C5-0013-C74E-9AB4-C12C713570F9}">
  <dimension ref="A1:D61"/>
  <sheetViews>
    <sheetView topLeftCell="A6" workbookViewId="0">
      <selection activeCell="C10" sqref="C10"/>
    </sheetView>
  </sheetViews>
  <sheetFormatPr baseColWidth="10" defaultColWidth="11.5" defaultRowHeight="13" x14ac:dyDescent="0.15"/>
  <cols>
    <col min="2" max="2" width="14.5" customWidth="1"/>
    <col min="3" max="3" width="13.5" customWidth="1"/>
  </cols>
  <sheetData>
    <row r="1" spans="1:4" x14ac:dyDescent="0.15">
      <c r="B1" s="8" t="s">
        <v>65</v>
      </c>
      <c r="C1" s="8" t="s">
        <v>66</v>
      </c>
      <c r="D1" s="8" t="s">
        <v>62</v>
      </c>
    </row>
    <row r="2" spans="1:4" x14ac:dyDescent="0.15">
      <c r="A2" s="77" t="s">
        <v>67</v>
      </c>
      <c r="B2" s="22">
        <v>2.76</v>
      </c>
      <c r="C2" s="22">
        <v>15555.555560000001</v>
      </c>
      <c r="D2" s="22">
        <v>18</v>
      </c>
    </row>
    <row r="3" spans="1:4" x14ac:dyDescent="0.15">
      <c r="A3" s="72"/>
      <c r="B3" s="14">
        <v>1.71</v>
      </c>
      <c r="C3" s="14">
        <v>14266.666670000001</v>
      </c>
      <c r="D3" s="14">
        <v>10</v>
      </c>
    </row>
    <row r="4" spans="1:4" x14ac:dyDescent="0.15">
      <c r="A4" s="72"/>
      <c r="B4" s="14">
        <v>2.2200000000000002</v>
      </c>
      <c r="C4" s="14">
        <v>19777.77778</v>
      </c>
      <c r="D4" s="14">
        <v>12</v>
      </c>
    </row>
    <row r="5" spans="1:4" x14ac:dyDescent="0.15">
      <c r="A5" s="72"/>
      <c r="B5" s="14">
        <v>6.66</v>
      </c>
      <c r="C5" s="14">
        <v>24088.888889999998</v>
      </c>
      <c r="D5" s="14">
        <v>17</v>
      </c>
    </row>
    <row r="6" spans="1:4" x14ac:dyDescent="0.15">
      <c r="A6" s="72"/>
      <c r="B6" s="14">
        <v>1.71</v>
      </c>
      <c r="C6" s="14">
        <v>21777.77778</v>
      </c>
      <c r="D6" s="14">
        <v>15</v>
      </c>
    </row>
    <row r="7" spans="1:4" x14ac:dyDescent="0.15">
      <c r="A7" s="72"/>
      <c r="B7" s="14">
        <v>3.56</v>
      </c>
      <c r="C7" s="14">
        <v>20444.444439999999</v>
      </c>
      <c r="D7" s="14">
        <v>20</v>
      </c>
    </row>
    <row r="8" spans="1:4" x14ac:dyDescent="0.15">
      <c r="A8" s="72"/>
      <c r="B8" s="14">
        <v>5.67</v>
      </c>
      <c r="C8" s="14">
        <v>28844.444439999999</v>
      </c>
      <c r="D8" s="14">
        <v>25</v>
      </c>
    </row>
    <row r="9" spans="1:4" x14ac:dyDescent="0.15">
      <c r="A9" s="72"/>
      <c r="B9" s="14">
        <v>3.53</v>
      </c>
      <c r="C9" s="14">
        <v>41644.444439999999</v>
      </c>
      <c r="D9" s="14">
        <v>18</v>
      </c>
    </row>
    <row r="10" spans="1:4" x14ac:dyDescent="0.15">
      <c r="A10" s="72"/>
      <c r="B10" s="14">
        <v>2.5</v>
      </c>
      <c r="C10" s="14">
        <v>37200</v>
      </c>
      <c r="D10" s="14">
        <v>12</v>
      </c>
    </row>
    <row r="11" spans="1:4" x14ac:dyDescent="0.15">
      <c r="A11" s="72"/>
      <c r="B11" s="14">
        <v>1.92</v>
      </c>
      <c r="C11" s="14">
        <v>26800</v>
      </c>
      <c r="D11" s="14">
        <v>15</v>
      </c>
    </row>
    <row r="12" spans="1:4" x14ac:dyDescent="0.15">
      <c r="A12" s="72"/>
      <c r="B12" s="14">
        <v>5.14</v>
      </c>
      <c r="C12" s="14">
        <v>18711.111110000002</v>
      </c>
      <c r="D12" s="14">
        <v>30</v>
      </c>
    </row>
    <row r="13" spans="1:4" x14ac:dyDescent="0.15">
      <c r="A13" s="72"/>
      <c r="B13" s="14">
        <v>0.56000000000000005</v>
      </c>
      <c r="C13" s="14">
        <v>2088.8888889999998</v>
      </c>
      <c r="D13" s="14">
        <v>7</v>
      </c>
    </row>
    <row r="14" spans="1:4" x14ac:dyDescent="0.15">
      <c r="A14" s="72"/>
      <c r="B14" s="14">
        <v>4.87</v>
      </c>
      <c r="C14" s="14">
        <v>11200</v>
      </c>
      <c r="D14" s="14">
        <v>10</v>
      </c>
    </row>
    <row r="15" spans="1:4" x14ac:dyDescent="0.15">
      <c r="A15" s="72"/>
      <c r="B15" s="14">
        <v>4</v>
      </c>
      <c r="C15" s="14">
        <v>23022.22222</v>
      </c>
      <c r="D15" s="14">
        <v>25</v>
      </c>
    </row>
    <row r="16" spans="1:4" x14ac:dyDescent="0.15">
      <c r="A16" s="72"/>
      <c r="B16" s="20">
        <v>7.98</v>
      </c>
      <c r="C16" s="20">
        <v>12488.88889</v>
      </c>
      <c r="D16" s="20">
        <v>30</v>
      </c>
    </row>
    <row r="17" spans="1:4" x14ac:dyDescent="0.15">
      <c r="A17" s="72"/>
      <c r="B17" s="14">
        <v>1.1599999999999999</v>
      </c>
      <c r="C17" s="14">
        <v>4311.1111110000002</v>
      </c>
      <c r="D17" s="14">
        <v>25</v>
      </c>
    </row>
    <row r="18" spans="1:4" x14ac:dyDescent="0.15">
      <c r="A18" s="72"/>
      <c r="B18" s="14">
        <v>0.99</v>
      </c>
      <c r="C18" s="14">
        <v>3600</v>
      </c>
      <c r="D18" s="14">
        <v>5</v>
      </c>
    </row>
    <row r="19" spans="1:4" x14ac:dyDescent="0.15">
      <c r="A19" s="72"/>
      <c r="B19" s="14">
        <v>1.51</v>
      </c>
      <c r="C19" s="14">
        <v>6800</v>
      </c>
      <c r="D19" s="14">
        <v>10</v>
      </c>
    </row>
    <row r="20" spans="1:4" x14ac:dyDescent="0.15">
      <c r="A20" s="72"/>
      <c r="B20" s="14">
        <v>0.41</v>
      </c>
      <c r="C20" s="14">
        <v>2533.333333</v>
      </c>
      <c r="D20" s="14">
        <v>30</v>
      </c>
    </row>
    <row r="21" spans="1:4" x14ac:dyDescent="0.15">
      <c r="A21" s="72"/>
      <c r="B21" s="14">
        <v>1.64</v>
      </c>
      <c r="C21" s="14">
        <v>12844.444439999999</v>
      </c>
      <c r="D21" s="14">
        <v>40</v>
      </c>
    </row>
    <row r="22" spans="1:4" x14ac:dyDescent="0.15">
      <c r="A22" s="72"/>
      <c r="B22" s="14">
        <v>8.61</v>
      </c>
      <c r="C22" s="14">
        <v>13288.88889</v>
      </c>
      <c r="D22" s="16">
        <v>70</v>
      </c>
    </row>
    <row r="23" spans="1:4" x14ac:dyDescent="0.15">
      <c r="A23" s="72"/>
      <c r="B23" s="14">
        <v>4.4400000000000004</v>
      </c>
      <c r="C23" s="14">
        <v>9244.4444440000007</v>
      </c>
      <c r="D23" s="14">
        <v>25</v>
      </c>
    </row>
    <row r="24" spans="1:4" x14ac:dyDescent="0.15">
      <c r="A24" s="72"/>
      <c r="B24" s="14">
        <v>6.01</v>
      </c>
      <c r="C24" s="14">
        <v>7644.4444439999997</v>
      </c>
      <c r="D24" s="14">
        <v>25</v>
      </c>
    </row>
    <row r="25" spans="1:4" x14ac:dyDescent="0.15">
      <c r="A25" s="72"/>
      <c r="B25" s="14">
        <v>2.1</v>
      </c>
      <c r="C25" s="14">
        <v>6800</v>
      </c>
      <c r="D25" s="14">
        <v>15</v>
      </c>
    </row>
    <row r="26" spans="1:4" x14ac:dyDescent="0.15">
      <c r="A26" s="72"/>
      <c r="B26" s="14">
        <v>2.78</v>
      </c>
      <c r="C26" s="14">
        <v>8844.4444440000007</v>
      </c>
      <c r="D26" s="14">
        <v>25</v>
      </c>
    </row>
    <row r="27" spans="1:4" x14ac:dyDescent="0.15">
      <c r="A27" s="72"/>
      <c r="B27" s="14">
        <v>5.14</v>
      </c>
      <c r="C27" s="14">
        <v>3911.1111110000002</v>
      </c>
      <c r="D27" s="14">
        <v>35</v>
      </c>
    </row>
    <row r="28" spans="1:4" x14ac:dyDescent="0.15">
      <c r="A28" s="72"/>
      <c r="B28" s="47">
        <v>0</v>
      </c>
      <c r="C28" s="47">
        <v>0</v>
      </c>
      <c r="D28" s="47">
        <v>0</v>
      </c>
    </row>
    <row r="29" spans="1:4" x14ac:dyDescent="0.15">
      <c r="A29" s="72"/>
      <c r="B29" s="14">
        <v>0.49</v>
      </c>
      <c r="C29" s="14">
        <v>1111.1111109999999</v>
      </c>
      <c r="D29" s="14">
        <v>3</v>
      </c>
    </row>
    <row r="30" spans="1:4" x14ac:dyDescent="0.15">
      <c r="A30" s="72"/>
      <c r="B30" s="14">
        <v>0.33</v>
      </c>
      <c r="C30" s="14">
        <v>2444.4444440000002</v>
      </c>
      <c r="D30" s="14">
        <v>20</v>
      </c>
    </row>
    <row r="31" spans="1:4" x14ac:dyDescent="0.15">
      <c r="A31" s="72"/>
      <c r="B31" s="20">
        <v>1.1100000000000001</v>
      </c>
      <c r="C31" s="20">
        <v>7733.3333329999996</v>
      </c>
      <c r="D31" s="20">
        <v>45</v>
      </c>
    </row>
    <row r="32" spans="1:4" x14ac:dyDescent="0.15">
      <c r="A32" s="72"/>
      <c r="B32" s="22">
        <v>0.54</v>
      </c>
      <c r="C32" s="22">
        <v>5777.7777779999997</v>
      </c>
      <c r="D32" s="22">
        <v>7</v>
      </c>
    </row>
    <row r="33" spans="1:4" x14ac:dyDescent="0.15">
      <c r="A33" s="72"/>
      <c r="B33" s="14">
        <v>2.5299999999999998</v>
      </c>
      <c r="C33" s="14">
        <v>15377.77778</v>
      </c>
      <c r="D33" s="14">
        <v>38</v>
      </c>
    </row>
    <row r="34" spans="1:4" x14ac:dyDescent="0.15">
      <c r="A34" s="72"/>
      <c r="B34" s="14">
        <v>2.6</v>
      </c>
      <c r="C34" s="14">
        <v>22222.22222</v>
      </c>
      <c r="D34" s="14">
        <v>30</v>
      </c>
    </row>
    <row r="35" spans="1:4" x14ac:dyDescent="0.15">
      <c r="A35" s="72"/>
      <c r="B35" s="14">
        <v>0.98</v>
      </c>
      <c r="C35" s="14">
        <v>6711.1111110000002</v>
      </c>
      <c r="D35" s="14">
        <v>7</v>
      </c>
    </row>
    <row r="36" spans="1:4" x14ac:dyDescent="0.15">
      <c r="A36" s="72"/>
      <c r="B36" s="14">
        <v>5.4</v>
      </c>
      <c r="C36" s="14">
        <v>29333.333330000001</v>
      </c>
      <c r="D36" s="14">
        <v>7</v>
      </c>
    </row>
    <row r="37" spans="1:4" x14ac:dyDescent="0.15">
      <c r="A37" s="72"/>
      <c r="B37" s="14">
        <v>3.2</v>
      </c>
      <c r="C37" s="14">
        <v>13333.333329999999</v>
      </c>
      <c r="D37" s="14">
        <v>38</v>
      </c>
    </row>
    <row r="38" spans="1:4" x14ac:dyDescent="0.15">
      <c r="A38" s="72"/>
      <c r="B38" s="14">
        <v>0.69</v>
      </c>
      <c r="C38" s="14">
        <v>7777.7777779999997</v>
      </c>
      <c r="D38" s="14">
        <v>5</v>
      </c>
    </row>
    <row r="39" spans="1:4" x14ac:dyDescent="0.15">
      <c r="A39" s="72"/>
      <c r="B39" s="14">
        <v>0.72</v>
      </c>
      <c r="C39" s="14">
        <v>5955.5555560000003</v>
      </c>
      <c r="D39" s="14">
        <v>25</v>
      </c>
    </row>
    <row r="40" spans="1:4" x14ac:dyDescent="0.15">
      <c r="A40" s="72"/>
      <c r="B40" s="14">
        <v>1.08</v>
      </c>
      <c r="C40" s="14">
        <v>14488.88889</v>
      </c>
      <c r="D40" s="14">
        <v>17</v>
      </c>
    </row>
    <row r="41" spans="1:4" x14ac:dyDescent="0.15">
      <c r="A41" s="72"/>
      <c r="B41" s="14">
        <v>1.04</v>
      </c>
      <c r="C41" s="14">
        <v>9600</v>
      </c>
      <c r="D41" s="14">
        <v>25</v>
      </c>
    </row>
    <row r="42" spans="1:4" x14ac:dyDescent="0.15">
      <c r="A42" s="72"/>
      <c r="B42" s="14">
        <v>0.74</v>
      </c>
      <c r="C42" s="14">
        <v>9155.5555559999993</v>
      </c>
      <c r="D42" s="14">
        <v>3</v>
      </c>
    </row>
    <row r="43" spans="1:4" x14ac:dyDescent="0.15">
      <c r="A43" s="72"/>
      <c r="B43" s="14">
        <v>3.21</v>
      </c>
      <c r="C43" s="14">
        <v>3600</v>
      </c>
      <c r="D43" s="14">
        <v>5</v>
      </c>
    </row>
    <row r="44" spans="1:4" x14ac:dyDescent="0.15">
      <c r="A44" s="72"/>
      <c r="B44" s="14">
        <v>0.43</v>
      </c>
      <c r="C44" s="14">
        <v>9466.6666669999995</v>
      </c>
      <c r="D44" s="14">
        <v>17</v>
      </c>
    </row>
    <row r="45" spans="1:4" x14ac:dyDescent="0.15">
      <c r="A45" s="72"/>
      <c r="B45" s="14">
        <v>0.54</v>
      </c>
      <c r="C45" s="14">
        <v>2755.5555559999998</v>
      </c>
      <c r="D45" s="14">
        <v>2</v>
      </c>
    </row>
    <row r="46" spans="1:4" x14ac:dyDescent="0.15">
      <c r="A46" s="72"/>
      <c r="B46" s="20">
        <v>1.1200000000000001</v>
      </c>
      <c r="C46" s="20">
        <v>7244.4444439999997</v>
      </c>
      <c r="D46" s="20">
        <v>1</v>
      </c>
    </row>
    <row r="47" spans="1:4" x14ac:dyDescent="0.15">
      <c r="A47" s="72"/>
      <c r="B47">
        <v>5.54</v>
      </c>
      <c r="C47" s="14">
        <v>29777.77778</v>
      </c>
      <c r="D47" s="14">
        <v>25</v>
      </c>
    </row>
    <row r="48" spans="1:4" x14ac:dyDescent="0.15">
      <c r="A48" s="72"/>
      <c r="B48" s="15">
        <v>18.170000000000002</v>
      </c>
      <c r="C48" s="16">
        <v>69752.484190000003</v>
      </c>
      <c r="D48" s="14">
        <v>22</v>
      </c>
    </row>
    <row r="49" spans="1:4" x14ac:dyDescent="0.15">
      <c r="A49" s="72"/>
      <c r="B49">
        <v>8.7100000000000009</v>
      </c>
      <c r="C49" s="14">
        <v>15147.82609</v>
      </c>
      <c r="D49" s="14">
        <v>45</v>
      </c>
    </row>
    <row r="50" spans="1:4" x14ac:dyDescent="0.15">
      <c r="A50" s="72"/>
      <c r="B50">
        <v>5.27</v>
      </c>
      <c r="C50" s="14">
        <v>28825.599999999999</v>
      </c>
      <c r="D50" s="14">
        <v>40</v>
      </c>
    </row>
    <row r="51" spans="1:4" x14ac:dyDescent="0.15">
      <c r="A51" s="72"/>
      <c r="B51">
        <v>4.95</v>
      </c>
      <c r="C51" s="14">
        <v>13600</v>
      </c>
      <c r="D51" s="14">
        <v>10</v>
      </c>
    </row>
    <row r="52" spans="1:4" x14ac:dyDescent="0.15">
      <c r="A52" s="72"/>
      <c r="B52">
        <v>7.58</v>
      </c>
      <c r="C52" s="14">
        <v>26757.26496</v>
      </c>
      <c r="D52" s="14">
        <v>15</v>
      </c>
    </row>
    <row r="53" spans="1:4" x14ac:dyDescent="0.15">
      <c r="A53" s="72"/>
      <c r="B53" s="15">
        <v>15.55</v>
      </c>
      <c r="C53" s="14">
        <v>29067.29264</v>
      </c>
      <c r="D53" s="14">
        <v>15</v>
      </c>
    </row>
    <row r="54" spans="1:4" x14ac:dyDescent="0.15">
      <c r="A54" s="72"/>
      <c r="B54" s="19">
        <v>2.62</v>
      </c>
      <c r="C54" s="19">
        <v>15200</v>
      </c>
      <c r="D54" s="14">
        <v>22</v>
      </c>
    </row>
    <row r="55" spans="1:4" x14ac:dyDescent="0.15">
      <c r="D55" s="14">
        <v>30</v>
      </c>
    </row>
    <row r="56" spans="1:4" x14ac:dyDescent="0.15">
      <c r="D56" s="14">
        <v>25</v>
      </c>
    </row>
    <row r="57" spans="1:4" x14ac:dyDescent="0.15">
      <c r="D57" s="14">
        <v>5</v>
      </c>
    </row>
    <row r="58" spans="1:4" x14ac:dyDescent="0.15">
      <c r="D58" s="14">
        <v>22</v>
      </c>
    </row>
    <row r="59" spans="1:4" x14ac:dyDescent="0.15">
      <c r="D59" s="14">
        <v>6</v>
      </c>
    </row>
    <row r="60" spans="1:4" x14ac:dyDescent="0.15">
      <c r="D60" s="14">
        <v>5</v>
      </c>
    </row>
    <row r="61" spans="1:4" x14ac:dyDescent="0.15">
      <c r="D61" s="20">
        <v>7</v>
      </c>
    </row>
  </sheetData>
  <mergeCells count="1">
    <mergeCell ref="A2:A54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9D09C-B544-0249-8E08-936449ED2C0A}">
  <dimension ref="A1:C57"/>
  <sheetViews>
    <sheetView workbookViewId="0">
      <selection activeCell="M8" sqref="M8"/>
    </sheetView>
  </sheetViews>
  <sheetFormatPr baseColWidth="10" defaultColWidth="11.5" defaultRowHeight="13" x14ac:dyDescent="0.15"/>
  <sheetData>
    <row r="1" spans="1:3" x14ac:dyDescent="0.15">
      <c r="A1" s="8" t="s">
        <v>62</v>
      </c>
      <c r="B1" s="8" t="s">
        <v>66</v>
      </c>
      <c r="C1" s="8" t="s">
        <v>65</v>
      </c>
    </row>
    <row r="2" spans="1:3" x14ac:dyDescent="0.15">
      <c r="A2" s="54">
        <v>0</v>
      </c>
      <c r="B2" s="54">
        <v>0</v>
      </c>
      <c r="C2" s="54">
        <v>0</v>
      </c>
    </row>
    <row r="3" spans="1:3" x14ac:dyDescent="0.15">
      <c r="A3" s="54">
        <v>0</v>
      </c>
      <c r="B3" s="54">
        <v>0</v>
      </c>
      <c r="C3" s="54">
        <v>0</v>
      </c>
    </row>
    <row r="4" spans="1:3" x14ac:dyDescent="0.15">
      <c r="A4" s="54">
        <v>0</v>
      </c>
      <c r="B4" s="54">
        <v>0</v>
      </c>
      <c r="C4" s="54">
        <v>0</v>
      </c>
    </row>
    <row r="5" spans="1:3" x14ac:dyDescent="0.15">
      <c r="A5" s="54">
        <v>0</v>
      </c>
      <c r="B5" s="54">
        <v>0</v>
      </c>
      <c r="C5" s="54">
        <v>0</v>
      </c>
    </row>
    <row r="6" spans="1:3" x14ac:dyDescent="0.15">
      <c r="A6" s="54">
        <v>0</v>
      </c>
      <c r="B6" s="54">
        <v>0</v>
      </c>
      <c r="C6" s="54">
        <v>0</v>
      </c>
    </row>
    <row r="7" spans="1:3" x14ac:dyDescent="0.15">
      <c r="A7" s="54">
        <v>0</v>
      </c>
      <c r="B7" s="54">
        <v>0</v>
      </c>
      <c r="C7" s="54">
        <v>0</v>
      </c>
    </row>
    <row r="8" spans="1:3" x14ac:dyDescent="0.15">
      <c r="A8" s="54">
        <v>0</v>
      </c>
      <c r="B8" s="54">
        <v>0</v>
      </c>
      <c r="C8" s="54">
        <v>0</v>
      </c>
    </row>
    <row r="9" spans="1:3" x14ac:dyDescent="0.15">
      <c r="A9" s="54">
        <v>0</v>
      </c>
      <c r="B9" s="54">
        <v>0</v>
      </c>
      <c r="C9" s="54">
        <v>0</v>
      </c>
    </row>
    <row r="10" spans="1:3" x14ac:dyDescent="0.15">
      <c r="A10" s="54">
        <v>0</v>
      </c>
      <c r="B10" s="54">
        <v>0</v>
      </c>
      <c r="C10" s="54">
        <v>0</v>
      </c>
    </row>
    <row r="11" spans="1:3" x14ac:dyDescent="0.15">
      <c r="A11" s="54">
        <v>0</v>
      </c>
      <c r="B11" s="54">
        <v>0</v>
      </c>
      <c r="C11" s="54">
        <v>0</v>
      </c>
    </row>
    <row r="12" spans="1:3" x14ac:dyDescent="0.15">
      <c r="A12" s="54">
        <v>0</v>
      </c>
      <c r="B12" s="54">
        <v>0</v>
      </c>
      <c r="C12" s="54">
        <v>0</v>
      </c>
    </row>
    <row r="13" spans="1:3" x14ac:dyDescent="0.15">
      <c r="A13" s="54">
        <v>0</v>
      </c>
      <c r="B13" s="54">
        <v>0</v>
      </c>
      <c r="C13" s="54">
        <v>0</v>
      </c>
    </row>
    <row r="14" spans="1:3" x14ac:dyDescent="0.15">
      <c r="A14" s="54">
        <v>0</v>
      </c>
      <c r="B14" s="54">
        <v>0</v>
      </c>
      <c r="C14" s="54">
        <v>0</v>
      </c>
    </row>
    <row r="15" spans="1:3" x14ac:dyDescent="0.15">
      <c r="A15" s="54">
        <v>0</v>
      </c>
      <c r="B15" s="54">
        <v>0</v>
      </c>
      <c r="C15" s="54">
        <v>0</v>
      </c>
    </row>
    <row r="16" spans="1:3" x14ac:dyDescent="0.15">
      <c r="A16" s="54">
        <v>0</v>
      </c>
      <c r="B16" s="54">
        <v>0</v>
      </c>
      <c r="C16" s="54">
        <v>0</v>
      </c>
    </row>
    <row r="17" spans="1:3" x14ac:dyDescent="0.15">
      <c r="A17" s="22">
        <v>25</v>
      </c>
      <c r="B17" s="22">
        <v>8800</v>
      </c>
      <c r="C17" s="22">
        <v>1.61</v>
      </c>
    </row>
    <row r="18" spans="1:3" x14ac:dyDescent="0.15">
      <c r="A18" s="14">
        <v>5</v>
      </c>
      <c r="B18" s="14">
        <v>2222.2222219999999</v>
      </c>
      <c r="C18" s="14">
        <v>1.72</v>
      </c>
    </row>
    <row r="19" spans="1:3" x14ac:dyDescent="0.15">
      <c r="A19" s="14">
        <v>2</v>
      </c>
      <c r="B19" s="14">
        <v>933.33333330000005</v>
      </c>
      <c r="C19" s="14">
        <v>0.32</v>
      </c>
    </row>
    <row r="20" spans="1:3" x14ac:dyDescent="0.15">
      <c r="A20" s="14">
        <v>2</v>
      </c>
      <c r="B20" s="14">
        <v>1422.2222220000001</v>
      </c>
      <c r="C20" s="14">
        <v>0.36</v>
      </c>
    </row>
    <row r="21" spans="1:3" x14ac:dyDescent="0.15">
      <c r="B21" s="14">
        <v>3555.5555559999998</v>
      </c>
      <c r="C21" s="14">
        <v>1.63</v>
      </c>
    </row>
    <row r="22" spans="1:3" x14ac:dyDescent="0.15">
      <c r="A22" s="47">
        <v>0</v>
      </c>
      <c r="B22" s="47">
        <v>0</v>
      </c>
      <c r="C22" s="47">
        <v>0</v>
      </c>
    </row>
    <row r="23" spans="1:3" x14ac:dyDescent="0.15">
      <c r="A23" s="14">
        <v>17</v>
      </c>
      <c r="B23" s="14">
        <v>11244.444439999999</v>
      </c>
      <c r="C23" s="14">
        <v>1.76</v>
      </c>
    </row>
    <row r="24" spans="1:3" x14ac:dyDescent="0.15">
      <c r="A24" s="47">
        <v>0</v>
      </c>
      <c r="B24" s="47">
        <v>0</v>
      </c>
      <c r="C24" s="47">
        <v>0</v>
      </c>
    </row>
    <row r="25" spans="1:3" x14ac:dyDescent="0.15">
      <c r="A25" s="47">
        <v>0</v>
      </c>
      <c r="B25" s="47">
        <v>0</v>
      </c>
      <c r="C25" s="47">
        <v>0</v>
      </c>
    </row>
    <row r="26" spans="1:3" x14ac:dyDescent="0.15">
      <c r="A26" s="14">
        <v>2</v>
      </c>
      <c r="B26" s="14">
        <v>1066.666667</v>
      </c>
      <c r="C26" s="14">
        <v>0.31</v>
      </c>
    </row>
    <row r="27" spans="1:3" x14ac:dyDescent="0.15">
      <c r="A27" s="14">
        <v>25</v>
      </c>
      <c r="B27" s="14">
        <v>4044.4444440000002</v>
      </c>
      <c r="C27" s="14">
        <v>1.62</v>
      </c>
    </row>
    <row r="28" spans="1:3" x14ac:dyDescent="0.15">
      <c r="A28" s="14">
        <v>2</v>
      </c>
      <c r="B28" s="14">
        <v>533.33333330000005</v>
      </c>
      <c r="C28" s="14">
        <v>0.24</v>
      </c>
    </row>
    <row r="29" spans="1:3" x14ac:dyDescent="0.15">
      <c r="A29" s="14">
        <v>2</v>
      </c>
      <c r="B29" s="14">
        <v>888.88888889999998</v>
      </c>
      <c r="C29" s="14">
        <v>0.09</v>
      </c>
    </row>
    <row r="30" spans="1:3" x14ac:dyDescent="0.15">
      <c r="A30" s="14">
        <v>2</v>
      </c>
      <c r="B30" s="14">
        <v>666.66666669999995</v>
      </c>
      <c r="C30" s="14">
        <v>0.11</v>
      </c>
    </row>
    <row r="31" spans="1:3" x14ac:dyDescent="0.15">
      <c r="A31" s="50">
        <v>0</v>
      </c>
      <c r="B31" s="50">
        <v>0</v>
      </c>
      <c r="C31" s="50">
        <v>0</v>
      </c>
    </row>
    <row r="32" spans="1:3" x14ac:dyDescent="0.15">
      <c r="A32" s="22">
        <v>10</v>
      </c>
      <c r="B32" s="22">
        <v>8311</v>
      </c>
      <c r="C32" s="22">
        <v>1.2</v>
      </c>
    </row>
    <row r="33" spans="1:3" x14ac:dyDescent="0.15">
      <c r="A33" s="14">
        <v>5</v>
      </c>
      <c r="B33" s="14">
        <v>6444</v>
      </c>
      <c r="C33" s="14">
        <v>1.41</v>
      </c>
    </row>
    <row r="34" spans="1:3" x14ac:dyDescent="0.15">
      <c r="A34" s="14">
        <v>3</v>
      </c>
      <c r="B34" s="14">
        <v>8978</v>
      </c>
      <c r="C34" s="14">
        <v>0.8</v>
      </c>
    </row>
    <row r="35" spans="1:3" x14ac:dyDescent="0.15">
      <c r="A35" s="14">
        <v>1</v>
      </c>
      <c r="B35" s="14">
        <v>1289</v>
      </c>
      <c r="C35" s="14">
        <v>0.33</v>
      </c>
    </row>
    <row r="36" spans="1:3" x14ac:dyDescent="0.15">
      <c r="A36" s="14">
        <v>1</v>
      </c>
      <c r="B36" s="14">
        <v>1956</v>
      </c>
      <c r="C36" s="14">
        <v>1.02</v>
      </c>
    </row>
    <row r="37" spans="1:3" x14ac:dyDescent="0.15">
      <c r="A37" s="47">
        <v>0</v>
      </c>
      <c r="B37" s="47">
        <v>0</v>
      </c>
      <c r="C37" s="47">
        <v>0</v>
      </c>
    </row>
    <row r="38" spans="1:3" x14ac:dyDescent="0.15">
      <c r="A38" s="47">
        <v>0</v>
      </c>
      <c r="B38" s="47">
        <v>0</v>
      </c>
      <c r="C38" s="47">
        <v>0</v>
      </c>
    </row>
    <row r="39" spans="1:3" x14ac:dyDescent="0.15">
      <c r="A39" s="47">
        <v>0</v>
      </c>
      <c r="B39" s="47">
        <v>0</v>
      </c>
      <c r="C39" s="47">
        <v>0</v>
      </c>
    </row>
    <row r="40" spans="1:3" x14ac:dyDescent="0.15">
      <c r="A40" s="47">
        <v>0</v>
      </c>
      <c r="B40" s="47">
        <v>0</v>
      </c>
      <c r="C40" s="47">
        <v>0</v>
      </c>
    </row>
    <row r="41" spans="1:3" x14ac:dyDescent="0.15">
      <c r="A41" s="47">
        <v>0</v>
      </c>
      <c r="B41" s="47">
        <v>0</v>
      </c>
      <c r="C41" s="47">
        <v>0</v>
      </c>
    </row>
    <row r="42" spans="1:3" x14ac:dyDescent="0.15">
      <c r="A42" s="14">
        <v>1</v>
      </c>
      <c r="B42" s="14">
        <v>711</v>
      </c>
      <c r="C42" s="14">
        <v>0.69</v>
      </c>
    </row>
    <row r="43" spans="1:3" x14ac:dyDescent="0.15">
      <c r="A43" s="47">
        <v>0</v>
      </c>
      <c r="B43" s="14">
        <v>1422</v>
      </c>
      <c r="C43" s="47">
        <v>0</v>
      </c>
    </row>
    <row r="44" spans="1:3" x14ac:dyDescent="0.15">
      <c r="A44" s="14">
        <v>4</v>
      </c>
      <c r="B44" s="14">
        <v>2800</v>
      </c>
      <c r="C44" s="14">
        <v>7.0000000000000007E-2</v>
      </c>
    </row>
    <row r="45" spans="1:3" x14ac:dyDescent="0.15">
      <c r="A45" s="14">
        <v>6</v>
      </c>
      <c r="B45" s="14">
        <v>1956</v>
      </c>
      <c r="C45" s="14">
        <v>0.48</v>
      </c>
    </row>
    <row r="46" spans="1:3" x14ac:dyDescent="0.15">
      <c r="A46" s="20">
        <v>0</v>
      </c>
      <c r="B46" s="20">
        <v>2311</v>
      </c>
      <c r="C46" s="20">
        <v>0.61</v>
      </c>
    </row>
    <row r="47" spans="1:3" x14ac:dyDescent="0.15">
      <c r="A47" s="14">
        <v>5</v>
      </c>
      <c r="B47" s="14">
        <v>3022.2222219999999</v>
      </c>
      <c r="C47" s="14">
        <v>0.54</v>
      </c>
    </row>
    <row r="48" spans="1:3" x14ac:dyDescent="0.15">
      <c r="A48" s="14">
        <v>5</v>
      </c>
      <c r="B48" s="14">
        <v>1733.333333</v>
      </c>
      <c r="C48" s="14">
        <v>0.45</v>
      </c>
    </row>
    <row r="49" spans="1:3" x14ac:dyDescent="0.15">
      <c r="A49" s="14">
        <v>17</v>
      </c>
      <c r="B49" s="14">
        <v>41111.111109999998</v>
      </c>
      <c r="C49" s="17">
        <v>2.1</v>
      </c>
    </row>
    <row r="50" spans="1:3" x14ac:dyDescent="0.15">
      <c r="A50" s="59">
        <v>0</v>
      </c>
      <c r="B50" s="59">
        <v>0</v>
      </c>
      <c r="C50" s="58">
        <v>0</v>
      </c>
    </row>
    <row r="51" spans="1:3" x14ac:dyDescent="0.15">
      <c r="A51" s="14">
        <v>7</v>
      </c>
      <c r="B51" s="14">
        <v>3777.7777780000001</v>
      </c>
      <c r="C51" s="14">
        <v>0.47</v>
      </c>
    </row>
    <row r="52" spans="1:3" x14ac:dyDescent="0.15">
      <c r="A52" s="14">
        <v>5</v>
      </c>
      <c r="B52" s="17">
        <v>80000</v>
      </c>
      <c r="C52" s="17">
        <v>3.1</v>
      </c>
    </row>
    <row r="53" spans="1:3" x14ac:dyDescent="0.15">
      <c r="A53" s="14">
        <v>5</v>
      </c>
      <c r="B53" s="14">
        <v>17279.526539999999</v>
      </c>
      <c r="C53" s="14">
        <v>2.1295161290000002</v>
      </c>
    </row>
    <row r="54" spans="1:3" x14ac:dyDescent="0.15">
      <c r="A54" s="14">
        <v>25</v>
      </c>
      <c r="B54" s="14">
        <v>7288.8888889999998</v>
      </c>
      <c r="C54" s="14">
        <v>1.97</v>
      </c>
    </row>
    <row r="55" spans="1:3" x14ac:dyDescent="0.15">
      <c r="A55" s="14">
        <v>5</v>
      </c>
      <c r="B55" s="17">
        <v>17007.198520000002</v>
      </c>
      <c r="C55" s="17">
        <v>3.813894737</v>
      </c>
    </row>
    <row r="56" spans="1:3" x14ac:dyDescent="0.15">
      <c r="A56" s="14">
        <v>17</v>
      </c>
      <c r="B56" s="17">
        <v>10076.02274</v>
      </c>
      <c r="C56" s="17">
        <v>2.491404255</v>
      </c>
    </row>
    <row r="57" spans="1:3" x14ac:dyDescent="0.15">
      <c r="A57" s="14">
        <v>5</v>
      </c>
      <c r="B57" s="17">
        <v>19706.235629999999</v>
      </c>
      <c r="C57" s="17">
        <v>2.5630967739999999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FFE52-9A58-5542-8ABE-C62A78E1831D}">
  <dimension ref="A1:C29"/>
  <sheetViews>
    <sheetView workbookViewId="0">
      <selection activeCell="D40" sqref="D40"/>
    </sheetView>
  </sheetViews>
  <sheetFormatPr baseColWidth="10" defaultColWidth="11.5" defaultRowHeight="13" x14ac:dyDescent="0.15"/>
  <cols>
    <col min="2" max="2" width="12.1640625" customWidth="1"/>
  </cols>
  <sheetData>
    <row r="1" spans="1:3" x14ac:dyDescent="0.15">
      <c r="A1" s="8" t="s">
        <v>62</v>
      </c>
      <c r="B1" s="8" t="s">
        <v>66</v>
      </c>
      <c r="C1" s="8" t="s">
        <v>61</v>
      </c>
    </row>
    <row r="2" spans="1:3" x14ac:dyDescent="0.15">
      <c r="A2" s="14">
        <v>60</v>
      </c>
      <c r="B2">
        <v>50405.228759999998</v>
      </c>
      <c r="C2">
        <v>19.28</v>
      </c>
    </row>
    <row r="3" spans="1:3" x14ac:dyDescent="0.15">
      <c r="A3" s="14">
        <v>12</v>
      </c>
      <c r="B3">
        <v>64933.333330000001</v>
      </c>
      <c r="C3">
        <v>5.71</v>
      </c>
    </row>
    <row r="4" spans="1:3" x14ac:dyDescent="0.15">
      <c r="A4" s="14">
        <v>25</v>
      </c>
      <c r="B4">
        <v>33858.85886</v>
      </c>
      <c r="C4">
        <v>13.75</v>
      </c>
    </row>
    <row r="5" spans="1:3" x14ac:dyDescent="0.15">
      <c r="A5" s="14">
        <v>17</v>
      </c>
      <c r="B5">
        <v>31511.111110000002</v>
      </c>
      <c r="C5">
        <v>7.09</v>
      </c>
    </row>
    <row r="6" spans="1:3" x14ac:dyDescent="0.15">
      <c r="A6" s="14">
        <v>20</v>
      </c>
      <c r="B6">
        <v>46981.684979999998</v>
      </c>
      <c r="C6">
        <v>7.95</v>
      </c>
    </row>
    <row r="7" spans="1:3" x14ac:dyDescent="0.15">
      <c r="A7" s="14">
        <v>7</v>
      </c>
      <c r="B7">
        <v>15824.24242</v>
      </c>
      <c r="C7">
        <v>3.73</v>
      </c>
    </row>
    <row r="8" spans="1:3" x14ac:dyDescent="0.15">
      <c r="A8" s="14">
        <v>2</v>
      </c>
      <c r="B8">
        <v>16977.77778</v>
      </c>
      <c r="C8">
        <v>0.73</v>
      </c>
    </row>
    <row r="9" spans="1:3" x14ac:dyDescent="0.15">
      <c r="A9" s="14">
        <v>17</v>
      </c>
      <c r="B9">
        <v>22266.666669999999</v>
      </c>
      <c r="C9">
        <v>6.68</v>
      </c>
    </row>
    <row r="10" spans="1:3" x14ac:dyDescent="0.15">
      <c r="A10" s="14">
        <v>5</v>
      </c>
      <c r="B10">
        <v>8279.3650789999992</v>
      </c>
      <c r="C10">
        <v>1.63</v>
      </c>
    </row>
    <row r="11" spans="1:3" x14ac:dyDescent="0.15">
      <c r="A11" s="14">
        <v>5</v>
      </c>
      <c r="B11">
        <v>17333.333330000001</v>
      </c>
      <c r="C11">
        <v>1.06</v>
      </c>
    </row>
    <row r="12" spans="1:3" x14ac:dyDescent="0.15">
      <c r="A12" s="14">
        <v>1</v>
      </c>
      <c r="B12">
        <v>1644.444444</v>
      </c>
      <c r="C12">
        <v>0.08</v>
      </c>
    </row>
    <row r="13" spans="1:3" x14ac:dyDescent="0.15">
      <c r="A13" s="14">
        <v>17</v>
      </c>
      <c r="B13">
        <v>52385.185189999997</v>
      </c>
      <c r="C13">
        <v>6.8</v>
      </c>
    </row>
    <row r="14" spans="1:3" x14ac:dyDescent="0.15">
      <c r="A14" s="20">
        <v>12</v>
      </c>
      <c r="B14">
        <v>30344.827590000001</v>
      </c>
      <c r="C14">
        <v>5.5</v>
      </c>
    </row>
    <row r="15" spans="1:3" x14ac:dyDescent="0.15">
      <c r="A15" s="14">
        <v>25</v>
      </c>
      <c r="B15">
        <v>28977.77778</v>
      </c>
      <c r="C15">
        <v>6.74</v>
      </c>
    </row>
    <row r="16" spans="1:3" x14ac:dyDescent="0.15">
      <c r="A16" s="14">
        <v>17</v>
      </c>
      <c r="B16">
        <v>31466.666669999999</v>
      </c>
      <c r="C16">
        <v>5.05</v>
      </c>
    </row>
    <row r="17" spans="1:3" x14ac:dyDescent="0.15">
      <c r="A17" s="14">
        <v>38</v>
      </c>
      <c r="B17">
        <v>59600</v>
      </c>
      <c r="C17">
        <v>6.58</v>
      </c>
    </row>
    <row r="18" spans="1:3" x14ac:dyDescent="0.15">
      <c r="A18" s="14">
        <v>17</v>
      </c>
      <c r="B18">
        <v>43466.666669999999</v>
      </c>
      <c r="C18">
        <v>8.1</v>
      </c>
    </row>
    <row r="19" spans="1:3" x14ac:dyDescent="0.15">
      <c r="A19" s="14">
        <v>7</v>
      </c>
      <c r="B19">
        <v>25822.22222</v>
      </c>
      <c r="C19">
        <v>6.5238095238095237</v>
      </c>
    </row>
    <row r="20" spans="1:3" x14ac:dyDescent="0.15">
      <c r="A20" s="14">
        <v>38</v>
      </c>
      <c r="B20">
        <v>12400</v>
      </c>
      <c r="C20">
        <v>1.57</v>
      </c>
    </row>
    <row r="21" spans="1:3" x14ac:dyDescent="0.15">
      <c r="A21" s="14">
        <v>17</v>
      </c>
    </row>
    <row r="22" spans="1:3" x14ac:dyDescent="0.15">
      <c r="A22" s="14">
        <v>25</v>
      </c>
    </row>
    <row r="23" spans="1:3" x14ac:dyDescent="0.15">
      <c r="A23" s="14">
        <v>17</v>
      </c>
    </row>
    <row r="24" spans="1:3" x14ac:dyDescent="0.15">
      <c r="A24" s="14">
        <v>25</v>
      </c>
    </row>
    <row r="25" spans="1:3" x14ac:dyDescent="0.15">
      <c r="A25" s="14">
        <v>17</v>
      </c>
    </row>
    <row r="26" spans="1:3" x14ac:dyDescent="0.15">
      <c r="A26" s="14">
        <v>25</v>
      </c>
    </row>
    <row r="27" spans="1:3" x14ac:dyDescent="0.15">
      <c r="A27" s="14">
        <v>17</v>
      </c>
    </row>
    <row r="28" spans="1:3" x14ac:dyDescent="0.15">
      <c r="A28" s="14">
        <v>12</v>
      </c>
    </row>
    <row r="29" spans="1:3" x14ac:dyDescent="0.15">
      <c r="A29" s="20">
        <v>45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41FBD-1FEB-B649-9C1B-4D7E86ABEBCF}">
  <dimension ref="A1:C16"/>
  <sheetViews>
    <sheetView workbookViewId="0">
      <selection activeCell="Q4" sqref="Q4"/>
    </sheetView>
  </sheetViews>
  <sheetFormatPr baseColWidth="10" defaultColWidth="11.5" defaultRowHeight="13" x14ac:dyDescent="0.15"/>
  <cols>
    <col min="2" max="2" width="12.5" customWidth="1"/>
    <col min="3" max="3" width="13.83203125" customWidth="1"/>
  </cols>
  <sheetData>
    <row r="1" spans="1:3" x14ac:dyDescent="0.15">
      <c r="A1" s="8" t="s">
        <v>62</v>
      </c>
      <c r="B1" s="8" t="s">
        <v>66</v>
      </c>
      <c r="C1" s="8" t="s">
        <v>65</v>
      </c>
    </row>
    <row r="2" spans="1:3" x14ac:dyDescent="0.15">
      <c r="A2">
        <v>2</v>
      </c>
      <c r="B2">
        <v>2711.1111110000002</v>
      </c>
      <c r="C2">
        <v>0.71</v>
      </c>
    </row>
    <row r="3" spans="1:3" x14ac:dyDescent="0.15">
      <c r="A3">
        <v>15</v>
      </c>
      <c r="B3">
        <v>3723.8095239999998</v>
      </c>
      <c r="C3">
        <v>1.1335714287090766</v>
      </c>
    </row>
    <row r="4" spans="1:3" x14ac:dyDescent="0.15">
      <c r="A4">
        <v>0</v>
      </c>
      <c r="B4">
        <v>0</v>
      </c>
      <c r="C4">
        <v>0</v>
      </c>
    </row>
    <row r="5" spans="1:3" x14ac:dyDescent="0.15">
      <c r="A5">
        <v>0</v>
      </c>
      <c r="B5">
        <v>0</v>
      </c>
      <c r="C5">
        <v>0</v>
      </c>
    </row>
    <row r="6" spans="1:3" x14ac:dyDescent="0.15">
      <c r="A6">
        <v>9</v>
      </c>
      <c r="B6">
        <v>5872.9411760000003</v>
      </c>
      <c r="C6">
        <v>2.3400000003083292</v>
      </c>
    </row>
    <row r="7" spans="1:3" x14ac:dyDescent="0.15">
      <c r="A7">
        <v>33</v>
      </c>
      <c r="B7">
        <v>24948.57143</v>
      </c>
      <c r="C7">
        <v>4.7571428573739185</v>
      </c>
    </row>
    <row r="8" spans="1:3" x14ac:dyDescent="0.15">
      <c r="A8">
        <v>19</v>
      </c>
      <c r="B8">
        <v>26851.851849999999</v>
      </c>
      <c r="C8">
        <v>46.319444443318631</v>
      </c>
    </row>
    <row r="9" spans="1:3" x14ac:dyDescent="0.15">
      <c r="A9">
        <v>17</v>
      </c>
      <c r="B9">
        <v>14088.88889</v>
      </c>
      <c r="C9">
        <v>5</v>
      </c>
    </row>
    <row r="10" spans="1:3" x14ac:dyDescent="0.15">
      <c r="A10">
        <v>29</v>
      </c>
      <c r="B10">
        <v>24044.444439999999</v>
      </c>
      <c r="C10">
        <v>6</v>
      </c>
    </row>
    <row r="11" spans="1:3" x14ac:dyDescent="0.15">
      <c r="A11">
        <v>25</v>
      </c>
      <c r="B11">
        <v>33333.333330000001</v>
      </c>
      <c r="C11">
        <v>8.6999999999999993</v>
      </c>
    </row>
    <row r="12" spans="1:3" x14ac:dyDescent="0.15">
      <c r="A12">
        <v>0</v>
      </c>
      <c r="B12">
        <v>0</v>
      </c>
      <c r="C12">
        <v>0</v>
      </c>
    </row>
    <row r="13" spans="1:3" x14ac:dyDescent="0.15">
      <c r="A13">
        <v>25</v>
      </c>
      <c r="B13">
        <v>12622.22222</v>
      </c>
      <c r="C13">
        <v>7.3028571425441626</v>
      </c>
    </row>
    <row r="14" spans="1:3" x14ac:dyDescent="0.15">
      <c r="A14">
        <v>0</v>
      </c>
      <c r="B14">
        <v>0</v>
      </c>
      <c r="C14">
        <v>0</v>
      </c>
    </row>
    <row r="15" spans="1:3" x14ac:dyDescent="0.15">
      <c r="A15">
        <v>0</v>
      </c>
      <c r="B15">
        <v>0</v>
      </c>
      <c r="C15">
        <v>0</v>
      </c>
    </row>
    <row r="16" spans="1:3" x14ac:dyDescent="0.15">
      <c r="A16">
        <v>0</v>
      </c>
      <c r="B16">
        <v>0</v>
      </c>
      <c r="C16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Copy of Waypoints_25-OCT-25</vt:lpstr>
      <vt:lpstr>Master Sheet</vt:lpstr>
      <vt:lpstr>Boxplots for Left and Right</vt:lpstr>
      <vt:lpstr>Master Sheet without outliers</vt:lpstr>
      <vt:lpstr>Boxplots for the Four Groups</vt:lpstr>
      <vt:lpstr>Boxplots for left behind water</vt:lpstr>
      <vt:lpstr>Boxplots for left between water</vt:lpstr>
      <vt:lpstr>Boxplots for left</vt:lpstr>
      <vt:lpstr>Boxplots for right between wate</vt:lpstr>
      <vt:lpstr>Boxplots for right behind water</vt:lpstr>
      <vt:lpstr>Boxplots for right</vt:lpstr>
      <vt:lpstr>Boxplots for Left Between</vt:lpstr>
      <vt:lpstr>Boxplots for Left Behind</vt:lpstr>
      <vt:lpstr>Boxplots for Right Between</vt:lpstr>
      <vt:lpstr>Boxplots for Right Behind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Hayley Lim Hui En</cp:lastModifiedBy>
  <cp:revision/>
  <dcterms:created xsi:type="dcterms:W3CDTF">2025-11-14T12:31:13Z</dcterms:created>
  <dcterms:modified xsi:type="dcterms:W3CDTF">2025-11-16T10:06:06Z</dcterms:modified>
  <cp:category/>
  <cp:contentStatus/>
</cp:coreProperties>
</file>